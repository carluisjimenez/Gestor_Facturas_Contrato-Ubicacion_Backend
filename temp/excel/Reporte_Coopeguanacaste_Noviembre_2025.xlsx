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indy.jiron\Dropbox\Accounting (1)\6. RESIDENCIAS\1. Owners\Owner Statements\2025\11. Noviembre\0.4 Coopeguanacaste\"/>
    </mc:Choice>
  </mc:AlternateContent>
  <xr:revisionPtr revIDLastSave="0" documentId="13_ncr:1_{3F756852-C167-42B6-B98F-369C63A04DDF}" xr6:coauthVersionLast="47" xr6:coauthVersionMax="47" xr10:uidLastSave="{00000000-0000-0000-0000-000000000000}"/>
  <bookViews>
    <workbookView xWindow="-120" yWindow="-120" windowWidth="29040" windowHeight="15720" activeTab="3" xr2:uid="{BFDA198F-7B94-4A08-AEAB-64B7286CE2B9}"/>
  </bookViews>
  <sheets>
    <sheet name="CPMS" sheetId="1" r:id="rId1"/>
    <sheet name="CPMS (2)" sheetId="2" state="hidden" r:id="rId2"/>
    <sheet name="Dueños 3rd Party" sheetId="4" r:id="rId3"/>
    <sheet name="Revision" sheetId="5" r:id="rId4"/>
    <sheet name="Registro Costo" sheetId="9" r:id="rId5"/>
  </sheets>
  <definedNames>
    <definedName name="_xlnm._FilterDatabase" localSheetId="0" hidden="1">CPMS!$A$1:$I$75</definedName>
    <definedName name="_xlnm._FilterDatabase" localSheetId="1" hidden="1">'CPMS (2)'!$A$1:$K$155</definedName>
    <definedName name="_xlnm._FilterDatabase" localSheetId="2" hidden="1">'Dueños 3rd Party'!$B$1:$K$27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9" l="1"/>
  <c r="H91" i="9" s="1"/>
  <c r="J75" i="1"/>
  <c r="I82" i="1"/>
  <c r="G9" i="5"/>
  <c r="N4" i="5"/>
  <c r="L79" i="1"/>
  <c r="M79" i="1" s="1"/>
  <c r="N79" i="1" s="1"/>
  <c r="N77" i="1"/>
  <c r="N78" i="1"/>
  <c r="N76" i="1"/>
  <c r="M77" i="1"/>
  <c r="M78" i="1"/>
  <c r="M76" i="1"/>
  <c r="J77" i="1"/>
  <c r="K12" i="1" l="1"/>
  <c r="H82" i="1" l="1"/>
</calcChain>
</file>

<file path=xl/sharedStrings.xml><?xml version="1.0" encoding="utf-8"?>
<sst xmlns="http://schemas.openxmlformats.org/spreadsheetml/2006/main" count="2076" uniqueCount="292">
  <si>
    <t>Asiento</t>
  </si>
  <si>
    <t>Consecutivo</t>
  </si>
  <si>
    <t>Nit</t>
  </si>
  <si>
    <t>Centro De Costo</t>
  </si>
  <si>
    <t>Cuenta Contable</t>
  </si>
  <si>
    <t>Contrato</t>
  </si>
  <si>
    <t>Referencia</t>
  </si>
  <si>
    <t>Débito Local</t>
  </si>
  <si>
    <t>Débito Dólar</t>
  </si>
  <si>
    <t>Crédito Local</t>
  </si>
  <si>
    <t>Crédito Dólar</t>
  </si>
  <si>
    <t>Credito Local</t>
  </si>
  <si>
    <t>Credito Dólar</t>
  </si>
  <si>
    <t>CG202762</t>
  </si>
  <si>
    <t>ND</t>
  </si>
  <si>
    <t>70-04-200</t>
  </si>
  <si>
    <t>5-01-01-002-024</t>
  </si>
  <si>
    <t>Electricity</t>
  </si>
  <si>
    <t>Contrato 102990/PDM 21/Noviembre 2025</t>
  </si>
  <si>
    <t>00-00-000</t>
  </si>
  <si>
    <t>1-01-05-001-007</t>
  </si>
  <si>
    <t>Contrato 102991/PDM 23/Noviembre 2025</t>
  </si>
  <si>
    <t>Contrato 102992/PDM 15/Noviembre 2025</t>
  </si>
  <si>
    <t>Contrato 102995/PDM 19/Noviembre 2025</t>
  </si>
  <si>
    <t>Contrato 105129/PDM 11/Noviembre 2025</t>
  </si>
  <si>
    <t>Contrato 105130/PDM 12/Noviembre 2025</t>
  </si>
  <si>
    <t>Contrato 109914/CLR 24/Noviembre 2025</t>
  </si>
  <si>
    <t>70-05-600</t>
  </si>
  <si>
    <t>6-02-01-164-001</t>
  </si>
  <si>
    <t>Contrato 116561/Celeste/Noviembre 2025</t>
  </si>
  <si>
    <t>Contrato 125542/ALA 18/Noviembre 2025</t>
  </si>
  <si>
    <t>Contrato 125543/ALA 32/Noviembre 2025</t>
  </si>
  <si>
    <t>Contrato 125555/ALA 38/Noviembre 2025</t>
  </si>
  <si>
    <t>Contrato 129017/CLR 10/Noviembre 2025</t>
  </si>
  <si>
    <t>Contrato 129018/CLR 14/Noviembre 2025</t>
  </si>
  <si>
    <t>Contrato 130047/PP 20/Noviembre 2025</t>
  </si>
  <si>
    <t>70-01-200</t>
  </si>
  <si>
    <t>Contrato 131624/FLAT CENTRAL/Noviembre 2025</t>
  </si>
  <si>
    <t>Contrato 133970/CLR 5/Noviembre 2025</t>
  </si>
  <si>
    <t>Contrato 133972/PP 25/Noviembre 2025</t>
  </si>
  <si>
    <t>Contrato 134181/CLR 9/Noviembre 2025</t>
  </si>
  <si>
    <t>Contrato 134182/CLR 7/Noviembre 2025</t>
  </si>
  <si>
    <t>Contrato 134183/CLR 11/Noviembre 2025</t>
  </si>
  <si>
    <t>Contrato 136065/CLR 17/Noviembre 2025</t>
  </si>
  <si>
    <t>Contrato 137038/CLR 12/Noviembre 2025</t>
  </si>
  <si>
    <t>Contrato 139216/CVA 12/Noviembre 2025</t>
  </si>
  <si>
    <t>Contrato 140935/CART 27/Noviembre 2025</t>
  </si>
  <si>
    <t>Contrato 141053/PP 2/Noviembre 2025</t>
  </si>
  <si>
    <t>Contrato 141695/CEN 32/Noviembre 2025</t>
  </si>
  <si>
    <t>Contrato 141696/CEN 42/Noviembre 2025</t>
  </si>
  <si>
    <t>Contrato 141697/CEN 43/Noviembre 2025</t>
  </si>
  <si>
    <t>Contrato 141698/CEN 41/Noviembre 2025</t>
  </si>
  <si>
    <t>Contrato 143274/FC Comercial 5 Ofic Concierge/Noviembre 2025</t>
  </si>
  <si>
    <t>Contrato 143280/FC Comercial 6 Ofic Concierge/Noviembre 2025</t>
  </si>
  <si>
    <t>Contrato 147146/PCF 10/Noviembre 2025</t>
  </si>
  <si>
    <t>Contrato 147147/PCF 11/Noviembre 2025</t>
  </si>
  <si>
    <t>Contrato 147149/PCF 36/Noviembre 2025</t>
  </si>
  <si>
    <t>Contrato 147158/PCF 26/Noviembre 2025</t>
  </si>
  <si>
    <t>Contrato 147160/PCF 20/Noviembre 2025</t>
  </si>
  <si>
    <t>Contrato 147163/PCF 24/Noviembre 2025</t>
  </si>
  <si>
    <t>Contrato 147167/PCF 28/Noviembre 2025</t>
  </si>
  <si>
    <t>Contrato 149392/CART 17/Noviembre 2025</t>
  </si>
  <si>
    <t>Contrato 149393/CART 15/Noviembre 2025</t>
  </si>
  <si>
    <t>Contrato 155288/Pienza Flats Apartamento PPF 104/Noviembre 2025</t>
  </si>
  <si>
    <t>Contrato 155289/ALA 14 A/Noviembre 2025</t>
  </si>
  <si>
    <t>Contrato 155291/ALA 14 B/Noviembre 2025</t>
  </si>
  <si>
    <t>Contrato 157290/CAM 4/Noviembre 2025</t>
  </si>
  <si>
    <t>Contrato 157291/CAM 5/Noviembre 2025</t>
  </si>
  <si>
    <t>Contrato 157292/CAM 6/Noviembre 2025</t>
  </si>
  <si>
    <t>Contrato 158718/CART 5/Noviembre 2025</t>
  </si>
  <si>
    <t>Contrato 158722/CVA 16/Noviembre 2025</t>
  </si>
  <si>
    <t>Contrato 165013/CART 8A/Noviembre 2025</t>
  </si>
  <si>
    <t>Contrato 165014/CART 8B/Noviembre 2025</t>
  </si>
  <si>
    <t>Contrato 165018/CART 14B/Noviembre 2025</t>
  </si>
  <si>
    <t>Contrato 165322/PMF 3/Noviembre 2025</t>
  </si>
  <si>
    <t>70-05-700</t>
  </si>
  <si>
    <t>Contrato 165325/MER 06- LCC retail/Noviembre 2025</t>
  </si>
  <si>
    <t>Contrato 168674/MER 05- LCC retail/Noviembre 2025</t>
  </si>
  <si>
    <t>Contrato 168678/Mer 14/Noviembre 2025</t>
  </si>
  <si>
    <t>Contrato 170847/CVA 4/Noviembre 2025</t>
  </si>
  <si>
    <t>Contrato 170848/CVA 2/Noviembre 2025</t>
  </si>
  <si>
    <t>Contrato 173014/CART 4/Noviembre 2025</t>
  </si>
  <si>
    <t>Contrato 175257/CVA 11/Noviembre 2025</t>
  </si>
  <si>
    <t>Contrato 177067/PMF F44/Noviembre 2025</t>
  </si>
  <si>
    <t>Contrato 177071/PMF F34/Noviembre 2025</t>
  </si>
  <si>
    <t>Contrato 177075/PMF F24/Noviembre 2025</t>
  </si>
  <si>
    <t>Contrato 180679/CLC 12/Noviembre 2025</t>
  </si>
  <si>
    <t>Contrato 180683/CLC 16/Noviembre 2025</t>
  </si>
  <si>
    <t>70-01-500</t>
  </si>
  <si>
    <t>Contrato 182194/Local 4 (DANTA 4)/Noviembre 2025</t>
  </si>
  <si>
    <t>Contrato 182195/CD 8/Noviembre 2025</t>
  </si>
  <si>
    <t>Contrato 185707/PMF 4/Noviembre 2025</t>
  </si>
  <si>
    <t>Contrato 200437/Pienza Flats Apartamento 205/Noviembre 2025</t>
  </si>
  <si>
    <t>Contrato 200438/Pienza Flats Apartamento 206/Noviembre 2025</t>
  </si>
  <si>
    <t>Contrato 200440/Pienza Flats Apartamento 103/Noviembre 2025</t>
  </si>
  <si>
    <t>Contrato 200441/Pienza Flats Apartamento 101/Noviembre 2025</t>
  </si>
  <si>
    <t>Contrato 200444/Pienza Flats Apartamento 102/Noviembre 2025</t>
  </si>
  <si>
    <t>Contrato 202857/Casa PMF6/Noviembre 2025</t>
  </si>
  <si>
    <t>Contrato 202862/Casa PMF5/Noviembre 2025</t>
  </si>
  <si>
    <t>Contrato 218486/TERRACE FLATS 75 31 N1/Noviembre 2025</t>
  </si>
  <si>
    <t>Contrato 220125/TERRACE FLATS 76,  43 NIVEL 4/Noviembre 2025</t>
  </si>
  <si>
    <t>Contrato 220126/TERRACE FLATS 76,  51 NIVEL 1/Noviembre 2025</t>
  </si>
  <si>
    <t>Contrato 220128/TERRACE FLATS 76,  41 NIVEL 1/Noviembre 2025</t>
  </si>
  <si>
    <t>Contrato 220671/TERRACE FLATS 77, 7781/Noviembre 2025</t>
  </si>
  <si>
    <t>Contrato 220672/TERRACE FLATS 77, 7771/Noviembre 2025</t>
  </si>
  <si>
    <t>Contrato 226083/Prado 33/Noviembre 2025</t>
  </si>
  <si>
    <t>2-01-01-004-001</t>
  </si>
  <si>
    <t>Coopeguanacaste</t>
  </si>
  <si>
    <t>Coopeguanacaste Electricidad Noviembre 2025</t>
  </si>
  <si>
    <t>Ubicación</t>
  </si>
  <si>
    <t>PDM 21</t>
  </si>
  <si>
    <t>PDM 23</t>
  </si>
  <si>
    <t>PDM 15</t>
  </si>
  <si>
    <t>PDM 19</t>
  </si>
  <si>
    <t>PDM 11</t>
  </si>
  <si>
    <t>PDM 12</t>
  </si>
  <si>
    <t>CLR 24</t>
  </si>
  <si>
    <t>ALA 18</t>
  </si>
  <si>
    <t>ALA 32</t>
  </si>
  <si>
    <t>ALA 38</t>
  </si>
  <si>
    <t>CLR 10</t>
  </si>
  <si>
    <t>CLR 14</t>
  </si>
  <si>
    <t>PP 20</t>
  </si>
  <si>
    <t>CLR 5</t>
  </si>
  <si>
    <t>PP 25</t>
  </si>
  <si>
    <t>CLR 9</t>
  </si>
  <si>
    <t>CLR 7</t>
  </si>
  <si>
    <t>CLR 11</t>
  </si>
  <si>
    <t>CLR 17</t>
  </si>
  <si>
    <t>CLR 12</t>
  </si>
  <si>
    <t>CVA 12</t>
  </si>
  <si>
    <t>CART 27</t>
  </si>
  <si>
    <t>PP 2</t>
  </si>
  <si>
    <t>CEN 32</t>
  </si>
  <si>
    <t>CEN 42</t>
  </si>
  <si>
    <t>CEN 43</t>
  </si>
  <si>
    <t>CEN 41</t>
  </si>
  <si>
    <t>PCF 10</t>
  </si>
  <si>
    <t>PCF 11</t>
  </si>
  <si>
    <t>PCF 36</t>
  </si>
  <si>
    <t>PCF 26</t>
  </si>
  <si>
    <t>PCF 20</t>
  </si>
  <si>
    <t>PCF 24</t>
  </si>
  <si>
    <t>PCF 28</t>
  </si>
  <si>
    <t>CART 17</t>
  </si>
  <si>
    <t>CART 15</t>
  </si>
  <si>
    <t>PPF 104</t>
  </si>
  <si>
    <t>ALA 14 A</t>
  </si>
  <si>
    <t>ALA 14 B</t>
  </si>
  <si>
    <t>CAM 5</t>
  </si>
  <si>
    <t>CAM 6</t>
  </si>
  <si>
    <t>CAM 4</t>
  </si>
  <si>
    <t>CART 5</t>
  </si>
  <si>
    <t>CVA 16</t>
  </si>
  <si>
    <t>CART 8A</t>
  </si>
  <si>
    <t>CART 8B</t>
  </si>
  <si>
    <t>CART 14B</t>
  </si>
  <si>
    <t>PMF 3</t>
  </si>
  <si>
    <t>Contrato 168678/MER 14/Noviembre 2025</t>
  </si>
  <si>
    <t>MER 14</t>
  </si>
  <si>
    <t>CVA 4</t>
  </si>
  <si>
    <t>CVA 2</t>
  </si>
  <si>
    <t>CART 4</t>
  </si>
  <si>
    <t>CVA 11</t>
  </si>
  <si>
    <t>PMF F44</t>
  </si>
  <si>
    <t>PMF F34</t>
  </si>
  <si>
    <t>PMF F24</t>
  </si>
  <si>
    <t>CLC 12</t>
  </si>
  <si>
    <t>CLC 16</t>
  </si>
  <si>
    <t>CD 8</t>
  </si>
  <si>
    <t>PMF 4</t>
  </si>
  <si>
    <t>PPF 205</t>
  </si>
  <si>
    <t>PPF 206</t>
  </si>
  <si>
    <t>PPF 102</t>
  </si>
  <si>
    <t>PPF 103</t>
  </si>
  <si>
    <t>PPF 101</t>
  </si>
  <si>
    <t>PMF 5</t>
  </si>
  <si>
    <t>PMF 6</t>
  </si>
  <si>
    <t>TF7531</t>
  </si>
  <si>
    <t>TF7643</t>
  </si>
  <si>
    <t>TF7651</t>
  </si>
  <si>
    <t>TF7641</t>
  </si>
  <si>
    <t>TF7781</t>
  </si>
  <si>
    <t>TF7771</t>
  </si>
  <si>
    <t>PRD33</t>
  </si>
  <si>
    <t>NIT</t>
  </si>
  <si>
    <t>30-01-026</t>
  </si>
  <si>
    <t>2-10-05-000-000</t>
  </si>
  <si>
    <t>30-01-118</t>
  </si>
  <si>
    <t>30-01-113</t>
  </si>
  <si>
    <t>30-01-115</t>
  </si>
  <si>
    <t>30-01-090</t>
  </si>
  <si>
    <t>30-02-003</t>
  </si>
  <si>
    <t>30-01-001</t>
  </si>
  <si>
    <t>30-01-123</t>
  </si>
  <si>
    <t>30-01-087</t>
  </si>
  <si>
    <t>30-01-106</t>
  </si>
  <si>
    <t>30-01-137</t>
  </si>
  <si>
    <t>30-01-088</t>
  </si>
  <si>
    <t>30-02-001</t>
  </si>
  <si>
    <t>30-01-119</t>
  </si>
  <si>
    <t>30-01-103</t>
  </si>
  <si>
    <t>30-01-028</t>
  </si>
  <si>
    <t>30-01-022</t>
  </si>
  <si>
    <t>30-02-010</t>
  </si>
  <si>
    <t>30-01-071</t>
  </si>
  <si>
    <t>30-01-070</t>
  </si>
  <si>
    <t>30-04-034</t>
  </si>
  <si>
    <t>30-01-098</t>
  </si>
  <si>
    <t>30-01-047</t>
  </si>
  <si>
    <t>30-01-031</t>
  </si>
  <si>
    <t>30-02-012</t>
  </si>
  <si>
    <t>Contrato 126586/CLR 22/Noviembre 2025</t>
  </si>
  <si>
    <t>Contrato 149388/CVA 14/Noviembre 2025</t>
  </si>
  <si>
    <t>Contrato 149390/CVA 8/Noviembre 2025</t>
  </si>
  <si>
    <t>Contrato 149391/CVA 10/Noviembre 2025</t>
  </si>
  <si>
    <t>Contrato 160784/CART 9/Noviembre 2025</t>
  </si>
  <si>
    <t>Contrato 161317/PP 10/Noviembre 2025</t>
  </si>
  <si>
    <t>Contrato 164136/PDM 7/Noviembre 2025</t>
  </si>
  <si>
    <t>Contrato 171430/PP 4 Apto/Noviembre 2025</t>
  </si>
  <si>
    <t>Contrato 171435/CART 6/Noviembre 2025</t>
  </si>
  <si>
    <t>Contrato 172315/CVA 1/Noviembre 2025</t>
  </si>
  <si>
    <t>Contrato 180614/PMF 2/Noviembre 2025</t>
  </si>
  <si>
    <t>Contrato 184594/CART 7/Noviembre 2025</t>
  </si>
  <si>
    <t>Contrato 184595/PP8/Noviembre 2025</t>
  </si>
  <si>
    <t>Contrato 187303/CVA 15/Noviembre 2025</t>
  </si>
  <si>
    <t>Contrato 189247/CART 23/Noviembre 2025</t>
  </si>
  <si>
    <t>Contrato 189809/CEN 34/Noviembre 2025</t>
  </si>
  <si>
    <t>Contrato 195761/CLR 16/Noviembre 2025</t>
  </si>
  <si>
    <t>Contrato 202863/Casa PP17/Noviembre 2025</t>
  </si>
  <si>
    <t>Contrato 205987/PCF 34/Noviembre 2025</t>
  </si>
  <si>
    <t>Contrato 216280/PCF 32/Noviembre 2025</t>
  </si>
  <si>
    <t>Contrato 226080/Prado 34/Noviembre 2025</t>
  </si>
  <si>
    <t>Contrato 233149/CART 18 (Nuevo Contrato)/Noviembre 2025</t>
  </si>
  <si>
    <t>Contrato 233307/ALA 20 /Noviembre 2025</t>
  </si>
  <si>
    <t>Contrato 233312/CEN 31 /Noviembre 2025</t>
  </si>
  <si>
    <t>Contrato 237570/PP 4 /Noviembre 2025</t>
  </si>
  <si>
    <t>Contrato 247722/PP19/Noviembre 2025</t>
  </si>
  <si>
    <t>Coopeguanacaste Electricidad Noviembre  2025</t>
  </si>
  <si>
    <t>CATALINAS PROPERTY MANAGEMENT SERVICES</t>
  </si>
  <si>
    <t xml:space="preserve">Fecha : </t>
  </si>
  <si>
    <t>TEMPATE</t>
  </si>
  <si>
    <t xml:space="preserve">    Hora : </t>
  </si>
  <si>
    <t>SANTA CRUZ</t>
  </si>
  <si>
    <t xml:space="preserve"> Página : </t>
  </si>
  <si>
    <t>26544600</t>
  </si>
  <si>
    <t>Balance de Comprobación del 01/11/2025 al 30/11/2025</t>
  </si>
  <si>
    <t>Incluye todas las cuentas del rango: 5-01-01-002-024 .. 5-01-01-002-024con saldo antes de cierre</t>
  </si>
  <si>
    <t>Centro de Costo: CPMS Revenue Sales and Marketing B2B &amp; Experience. Cuentas con movimientos o saldo diferente de cero.</t>
  </si>
  <si>
    <t xml:space="preserve">Contabilidad Fiscal. </t>
  </si>
  <si>
    <t xml:space="preserve">Cuenta </t>
  </si>
  <si>
    <t>Descripción</t>
  </si>
  <si>
    <t>Saldo Normal</t>
  </si>
  <si>
    <t>----------  Monto Local  ------------</t>
  </si>
  <si>
    <t>----------  Monto Dolar  ------------</t>
  </si>
  <si>
    <t>Saldo Inicial</t>
  </si>
  <si>
    <t xml:space="preserve">Total Débitos </t>
  </si>
  <si>
    <t>Total Créditos</t>
  </si>
  <si>
    <t xml:space="preserve">Balance Final </t>
  </si>
  <si>
    <t>Owners Electricity</t>
  </si>
  <si>
    <t>Deudor</t>
  </si>
  <si>
    <t>Fecha</t>
  </si>
  <si>
    <t>Centro Costo</t>
  </si>
  <si>
    <t>Fuente</t>
  </si>
  <si>
    <t>Tipo Asiento</t>
  </si>
  <si>
    <t>Origen</t>
  </si>
  <si>
    <t>Débitos</t>
  </si>
  <si>
    <t>Creditos</t>
  </si>
  <si>
    <t>CG</t>
  </si>
  <si>
    <t>CP107559</t>
  </si>
  <si>
    <t>COOPERATIVA DE ELECTRIFICACION RURAL DE GUANACASTE R.L / Electricidad Contrato 182184 / PP 1 y 3</t>
  </si>
  <si>
    <t>FAC44377702</t>
  </si>
  <si>
    <t>CP</t>
  </si>
  <si>
    <t>CP107560</t>
  </si>
  <si>
    <t>COOPERATIVA DE ELECTRIFICACION RURAL DE GUANACASTE R.L / Electricidad Contrato 176147 / PP 1 y 3</t>
  </si>
  <si>
    <t>FAC44393471</t>
  </si>
  <si>
    <t>CP107561</t>
  </si>
  <si>
    <t>COOPERATIVA DE ELECTRIFICACION RURAL DE GUANACASTE R.L / Electricidad Contrato 180678 / PP 1 y 3</t>
  </si>
  <si>
    <t>FAC44393317</t>
  </si>
  <si>
    <t>Total de Cuentas Listadas:</t>
  </si>
  <si>
    <t>Contrato 176147/PP 1&amp;3/Noviembre 2025</t>
  </si>
  <si>
    <t>Contrato 180678/PP 1/Noviembre 2025</t>
  </si>
  <si>
    <t>Contrato 182184/CASA PP 1-3 /Noviembre 2025</t>
  </si>
  <si>
    <t>PP 1-3</t>
  </si>
  <si>
    <t>Subtotal</t>
  </si>
  <si>
    <t>Total</t>
  </si>
  <si>
    <t>4-01-08-005-001</t>
  </si>
  <si>
    <t>Ingreso</t>
  </si>
  <si>
    <t>Costo</t>
  </si>
  <si>
    <t>Diferencia</t>
  </si>
  <si>
    <t>Pedidos</t>
  </si>
  <si>
    <t>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</si>
</sst>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h\:mm\:ss\ AM/PM"/>
    <numFmt numFmtId="166" formatCode="_-[$₡-140A]* #,##0.00_-;\-[$₡-140A]* #,##0.00_-;_-[$₡-140A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theme="1"/>
      <name val="Aptos Display"/>
      <family val="2"/>
    </font>
    <font>
      <sz val="10"/>
      <color indexed="8"/>
      <name val="Arial"/>
      <family val="2"/>
    </font>
    <font>
      <sz val="10"/>
      <color theme="1"/>
      <name val="Aptos Display"/>
      <family val="2"/>
    </font>
    <font>
      <b/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>
      <alignment vertical="top"/>
    </xf>
  </cellStyleXfs>
  <cellXfs count="124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1" fontId="0" fillId="0" borderId="2" xfId="0" applyNumberFormat="1" applyBorder="1"/>
    <xf numFmtId="0" fontId="0" fillId="0" borderId="2" xfId="0" applyBorder="1"/>
    <xf numFmtId="43" fontId="0" fillId="0" borderId="0" xfId="1" applyFont="1" applyFill="1"/>
    <xf numFmtId="43" fontId="0" fillId="0" borderId="0" xfId="0" applyNumberFormat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43" fontId="3" fillId="0" borderId="0" xfId="1" applyFont="1" applyFill="1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43" fontId="0" fillId="0" borderId="0" xfId="1" applyFont="1" applyBorder="1"/>
    <xf numFmtId="43" fontId="0" fillId="0" borderId="0" xfId="1" applyFont="1"/>
    <xf numFmtId="43" fontId="0" fillId="0" borderId="0" xfId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43" fontId="2" fillId="2" borderId="4" xfId="1" applyFont="1" applyFill="1" applyBorder="1" applyAlignment="1">
      <alignment horizontal="center"/>
    </xf>
    <xf numFmtId="43" fontId="2" fillId="2" borderId="6" xfId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43" fontId="0" fillId="0" borderId="14" xfId="1" applyFont="1" applyBorder="1"/>
    <xf numFmtId="164" fontId="0" fillId="0" borderId="14" xfId="0" applyNumberFormat="1" applyBorder="1"/>
    <xf numFmtId="1" fontId="0" fillId="0" borderId="15" xfId="0" applyNumberFormat="1" applyBorder="1"/>
    <xf numFmtId="0" fontId="0" fillId="0" borderId="15" xfId="0" applyBorder="1"/>
    <xf numFmtId="4" fontId="0" fillId="0" borderId="0" xfId="0" applyNumberFormat="1" applyAlignment="1">
      <alignment horizontal="left" vertical="top"/>
    </xf>
    <xf numFmtId="4" fontId="0" fillId="0" borderId="13" xfId="0" applyNumberFormat="1" applyBorder="1" applyAlignment="1">
      <alignment horizontal="left" vertical="top"/>
    </xf>
    <xf numFmtId="0" fontId="0" fillId="3" borderId="5" xfId="0" applyFill="1" applyBorder="1"/>
    <xf numFmtId="0" fontId="0" fillId="3" borderId="1" xfId="0" applyFill="1" applyBorder="1"/>
    <xf numFmtId="0" fontId="0" fillId="3" borderId="12" xfId="0" applyFill="1" applyBorder="1"/>
    <xf numFmtId="44" fontId="2" fillId="3" borderId="10" xfId="0" applyNumberFormat="1" applyFont="1" applyFill="1" applyBorder="1"/>
    <xf numFmtId="0" fontId="0" fillId="4" borderId="2" xfId="0" applyFill="1" applyBorder="1" applyAlignment="1">
      <alignment horizontal="center"/>
    </xf>
    <xf numFmtId="1" fontId="0" fillId="4" borderId="2" xfId="0" applyNumberFormat="1" applyFill="1" applyBorder="1"/>
    <xf numFmtId="0" fontId="0" fillId="4" borderId="2" xfId="0" applyFill="1" applyBorder="1"/>
    <xf numFmtId="43" fontId="0" fillId="4" borderId="2" xfId="1" applyFont="1" applyFill="1" applyBorder="1"/>
    <xf numFmtId="0" fontId="3" fillId="4" borderId="2" xfId="0" applyFont="1" applyFill="1" applyBorder="1"/>
    <xf numFmtId="0" fontId="0" fillId="5" borderId="2" xfId="0" applyFill="1" applyBorder="1" applyAlignment="1">
      <alignment horizontal="center"/>
    </xf>
    <xf numFmtId="1" fontId="0" fillId="5" borderId="2" xfId="0" applyNumberFormat="1" applyFill="1" applyBorder="1"/>
    <xf numFmtId="0" fontId="0" fillId="5" borderId="2" xfId="0" applyFill="1" applyBorder="1"/>
    <xf numFmtId="43" fontId="0" fillId="5" borderId="2" xfId="1" applyFont="1" applyFill="1" applyBorder="1"/>
    <xf numFmtId="0" fontId="3" fillId="5" borderId="2" xfId="0" applyFont="1" applyFill="1" applyBorder="1"/>
    <xf numFmtId="0" fontId="0" fillId="5" borderId="8" xfId="0" applyFill="1" applyBorder="1" applyAlignment="1">
      <alignment horizontal="center"/>
    </xf>
    <xf numFmtId="0" fontId="3" fillId="5" borderId="8" xfId="0" applyFont="1" applyFill="1" applyBorder="1" applyAlignment="1">
      <alignment horizontal="left"/>
    </xf>
    <xf numFmtId="0" fontId="3" fillId="5" borderId="8" xfId="0" applyFont="1" applyFill="1" applyBorder="1"/>
    <xf numFmtId="43" fontId="0" fillId="5" borderId="8" xfId="1" applyFont="1" applyFill="1" applyBorder="1"/>
    <xf numFmtId="0" fontId="3" fillId="5" borderId="2" xfId="0" applyFont="1" applyFill="1" applyBorder="1" applyAlignment="1">
      <alignment horizontal="left"/>
    </xf>
    <xf numFmtId="43" fontId="3" fillId="5" borderId="2" xfId="1" applyFont="1" applyFill="1" applyBorder="1"/>
    <xf numFmtId="0" fontId="0" fillId="4" borderId="9" xfId="0" applyFill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0" fontId="3" fillId="4" borderId="9" xfId="0" applyFont="1" applyFill="1" applyBorder="1"/>
    <xf numFmtId="43" fontId="0" fillId="4" borderId="9" xfId="1" applyFont="1" applyFill="1" applyBorder="1"/>
    <xf numFmtId="0" fontId="3" fillId="4" borderId="2" xfId="0" applyFont="1" applyFill="1" applyBorder="1" applyAlignment="1">
      <alignment horizontal="left"/>
    </xf>
    <xf numFmtId="43" fontId="3" fillId="4" borderId="2" xfId="1" applyFont="1" applyFill="1" applyBorder="1"/>
    <xf numFmtId="0" fontId="0" fillId="6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6" borderId="5" xfId="0" applyFont="1" applyFill="1" applyBorder="1" applyAlignment="1">
      <alignment horizontal="left"/>
    </xf>
    <xf numFmtId="0" fontId="3" fillId="6" borderId="5" xfId="0" applyFont="1" applyFill="1" applyBorder="1"/>
    <xf numFmtId="43" fontId="3" fillId="6" borderId="5" xfId="1" applyFont="1" applyFill="1" applyBorder="1"/>
    <xf numFmtId="43" fontId="0" fillId="6" borderId="5" xfId="1" applyFont="1" applyFill="1" applyBorder="1"/>
    <xf numFmtId="0" fontId="0" fillId="6" borderId="1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/>
    <xf numFmtId="43" fontId="3" fillId="6" borderId="1" xfId="1" applyFont="1" applyFill="1" applyBorder="1"/>
    <xf numFmtId="43" fontId="0" fillId="6" borderId="1" xfId="1" applyFont="1" applyFill="1" applyBorder="1"/>
    <xf numFmtId="0" fontId="2" fillId="5" borderId="2" xfId="0" applyFont="1" applyFill="1" applyBorder="1"/>
    <xf numFmtId="0" fontId="5" fillId="0" borderId="0" xfId="2">
      <alignment vertical="top"/>
    </xf>
    <xf numFmtId="14" fontId="5" fillId="0" borderId="0" xfId="2" applyNumberFormat="1">
      <alignment vertical="top"/>
    </xf>
    <xf numFmtId="165" fontId="5" fillId="0" borderId="0" xfId="2" applyNumberFormat="1">
      <alignment vertical="top"/>
    </xf>
    <xf numFmtId="1" fontId="5" fillId="0" borderId="0" xfId="2" applyNumberFormat="1">
      <alignment vertical="top"/>
    </xf>
    <xf numFmtId="4" fontId="5" fillId="0" borderId="0" xfId="2" applyNumberFormat="1">
      <alignment vertical="top"/>
    </xf>
    <xf numFmtId="0" fontId="0" fillId="4" borderId="8" xfId="0" applyFill="1" applyBorder="1" applyAlignment="1">
      <alignment horizontal="center"/>
    </xf>
    <xf numFmtId="0" fontId="3" fillId="4" borderId="8" xfId="0" applyFont="1" applyFill="1" applyBorder="1" applyAlignment="1">
      <alignment horizontal="left"/>
    </xf>
    <xf numFmtId="0" fontId="3" fillId="4" borderId="8" xfId="0" applyFont="1" applyFill="1" applyBorder="1"/>
    <xf numFmtId="43" fontId="0" fillId="4" borderId="8" xfId="1" applyFont="1" applyFill="1" applyBorder="1"/>
    <xf numFmtId="0" fontId="0" fillId="7" borderId="0" xfId="0" applyFill="1" applyAlignment="1">
      <alignment horizontal="center"/>
    </xf>
    <xf numFmtId="0" fontId="0" fillId="7" borderId="0" xfId="0" applyFill="1"/>
    <xf numFmtId="43" fontId="0" fillId="7" borderId="0" xfId="1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43" fontId="0" fillId="7" borderId="5" xfId="1" applyFont="1" applyFill="1" applyBorder="1" applyAlignment="1">
      <alignment horizontal="center"/>
    </xf>
    <xf numFmtId="0" fontId="0" fillId="7" borderId="10" xfId="0" applyFill="1" applyBorder="1"/>
    <xf numFmtId="0" fontId="0" fillId="7" borderId="16" xfId="0" applyFill="1" applyBorder="1" applyAlignment="1">
      <alignment horizontal="center"/>
    </xf>
    <xf numFmtId="44" fontId="2" fillId="7" borderId="17" xfId="0" applyNumberFormat="1" applyFont="1" applyFill="1" applyBorder="1"/>
    <xf numFmtId="0" fontId="0" fillId="7" borderId="1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43" fontId="0" fillId="7" borderId="1" xfId="1" applyFont="1" applyFill="1" applyBorder="1" applyAlignment="1">
      <alignment horizontal="center"/>
    </xf>
    <xf numFmtId="0" fontId="0" fillId="7" borderId="12" xfId="0" applyFill="1" applyBorder="1"/>
    <xf numFmtId="166" fontId="6" fillId="0" borderId="0" xfId="1" applyNumberFormat="1" applyFont="1" applyFill="1" applyBorder="1"/>
    <xf numFmtId="166" fontId="6" fillId="8" borderId="0" xfId="1" applyNumberFormat="1" applyFont="1" applyFill="1" applyBorder="1"/>
    <xf numFmtId="166" fontId="0" fillId="0" borderId="0" xfId="0" applyNumberForma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6" fontId="2" fillId="0" borderId="14" xfId="0" applyNumberFormat="1" applyFont="1" applyBorder="1"/>
    <xf numFmtId="166" fontId="2" fillId="0" borderId="0" xfId="0" applyNumberFormat="1" applyFont="1"/>
    <xf numFmtId="0" fontId="4" fillId="0" borderId="7" xfId="0" applyFont="1" applyBorder="1"/>
    <xf numFmtId="0" fontId="6" fillId="0" borderId="10" xfId="0" applyFont="1" applyBorder="1" applyAlignment="1">
      <alignment horizontal="center"/>
    </xf>
    <xf numFmtId="0" fontId="4" fillId="0" borderId="11" xfId="0" applyFont="1" applyBorder="1"/>
    <xf numFmtId="0" fontId="6" fillId="0" borderId="12" xfId="0" applyFont="1" applyBorder="1" applyAlignment="1">
      <alignment horizontal="center"/>
    </xf>
    <xf numFmtId="0" fontId="4" fillId="0" borderId="3" xfId="0" applyFont="1" applyBorder="1"/>
    <xf numFmtId="0" fontId="6" fillId="0" borderId="6" xfId="0" applyFont="1" applyBorder="1" applyAlignment="1">
      <alignment horizontal="center"/>
    </xf>
    <xf numFmtId="43" fontId="0" fillId="9" borderId="0" xfId="1" applyFont="1" applyFill="1"/>
    <xf numFmtId="0" fontId="0" fillId="9" borderId="3" xfId="0" applyFill="1" applyBorder="1"/>
    <xf numFmtId="164" fontId="0" fillId="9" borderId="6" xfId="0" applyNumberFormat="1" applyFill="1" applyBorder="1"/>
    <xf numFmtId="43" fontId="2" fillId="3" borderId="0" xfId="0" applyNumberFormat="1" applyFont="1" applyFill="1"/>
    <xf numFmtId="4" fontId="7" fillId="3" borderId="10" xfId="2" applyNumberFormat="1" applyFont="1" applyFill="1" applyBorder="1">
      <alignment vertical="top"/>
    </xf>
    <xf numFmtId="4" fontId="7" fillId="3" borderId="17" xfId="2" applyNumberFormat="1" applyFont="1" applyFill="1" applyBorder="1">
      <alignment vertical="top"/>
    </xf>
    <xf numFmtId="4" fontId="7" fillId="3" borderId="12" xfId="2" applyNumberFormat="1" applyFont="1" applyFill="1" applyBorder="1">
      <alignment vertical="top"/>
    </xf>
    <xf numFmtId="0" fontId="7" fillId="3" borderId="18" xfId="2" applyFont="1" applyFill="1" applyBorder="1">
      <alignment vertical="top"/>
    </xf>
    <xf numFmtId="0" fontId="7" fillId="3" borderId="19" xfId="2" applyFont="1" applyFill="1" applyBorder="1">
      <alignment vertical="top"/>
    </xf>
    <xf numFmtId="0" fontId="7" fillId="3" borderId="20" xfId="2" applyFont="1" applyFill="1" applyBorder="1">
      <alignment vertical="top"/>
    </xf>
  </cellXfs>
  <cellStyles count="3">
    <cellStyle name="Comma" xfId="1" builtinId="3"/>
    <cellStyle name="Normal" xfId="0" builtinId="0"/>
    <cellStyle name="Normal 2" xfId="2" xr:uid="{0BF89829-04ED-4334-BD2C-0968C7A16334}"/>
  </cellStyles>
  <dxfs count="0"/>
  <tableStyles count="0" defaultTableStyle="TableStyleMedium2" defaultPivotStyle="PivotStyleLight16"/>
  <colors>
    <mruColors>
      <color rgb="FFFFCCFF"/>
      <color rgb="FF996600"/>
      <color rgb="FFFFCC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27</xdr:row>
      <xdr:rowOff>152400</xdr:rowOff>
    </xdr:from>
    <xdr:to>
      <xdr:col>15</xdr:col>
      <xdr:colOff>572821</xdr:colOff>
      <xdr:row>41</xdr:row>
      <xdr:rowOff>76562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54AF4-15D7-FDD8-C784-53E4A542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5334000"/>
          <a:ext cx="9469171" cy="2591162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10</xdr:row>
      <xdr:rowOff>85725</xdr:rowOff>
    </xdr:from>
    <xdr:to>
      <xdr:col>16</xdr:col>
      <xdr:colOff>20328</xdr:colOff>
      <xdr:row>24</xdr:row>
      <xdr:rowOff>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B7E3BF-FDFB-6E89-5123-1646C0E46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575" y="2019300"/>
          <a:ext cx="9154803" cy="25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7289-3BD5-4158-B746-6F4592B7581F}">
  <sheetPr>
    <tabColor theme="5" tint="-0.249977111117893"/>
  </sheetPr>
  <dimension ref="A1:N82"/>
  <sheetViews>
    <sheetView topLeftCell="A44" workbookViewId="0">
      <selection activeCell="J75" sqref="J75"/>
    </sheetView>
  </sheetViews>
  <sheetFormatPr defaultColWidth="11.42578125" defaultRowHeight="15" x14ac:dyDescent="0.25"/>
  <cols>
    <col min="1" max="1" width="12.28515625" style="1" customWidth="1"/>
    <col min="2" max="2" width="8.28515625" style="1" bestFit="1" customWidth="1"/>
    <col min="3" max="4" width="17.5703125" customWidth="1"/>
    <col min="5" max="5" width="12.85546875" style="1" customWidth="1"/>
    <col min="6" max="6" width="45.85546875" customWidth="1"/>
    <col min="7" max="7" width="14.28515625" customWidth="1"/>
    <col min="8" max="8" width="22" style="17" customWidth="1"/>
    <col min="9" max="9" width="15.85546875" style="17" bestFit="1" customWidth="1"/>
    <col min="12" max="12" width="14.28515625" customWidth="1"/>
    <col min="14" max="14" width="13.85546875" customWidth="1"/>
  </cols>
  <sheetData>
    <row r="1" spans="1:11" x14ac:dyDescent="0.25">
      <c r="A1" s="2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109</v>
      </c>
      <c r="H1" s="18" t="s">
        <v>7</v>
      </c>
      <c r="I1" s="19" t="s">
        <v>8</v>
      </c>
    </row>
    <row r="2" spans="1:11" x14ac:dyDescent="0.25">
      <c r="A2" s="42">
        <v>1</v>
      </c>
      <c r="B2" s="42" t="s">
        <v>14</v>
      </c>
      <c r="C2" s="43" t="s">
        <v>15</v>
      </c>
      <c r="D2" s="43" t="s">
        <v>16</v>
      </c>
      <c r="E2" s="44" t="s">
        <v>17</v>
      </c>
      <c r="F2" s="44" t="s">
        <v>18</v>
      </c>
      <c r="G2" s="44" t="s">
        <v>110</v>
      </c>
      <c r="H2" s="45">
        <v>588968.10000000009</v>
      </c>
      <c r="I2" s="45">
        <v>1178.3604097475093</v>
      </c>
    </row>
    <row r="3" spans="1:11" x14ac:dyDescent="0.25">
      <c r="A3" s="42">
        <v>3</v>
      </c>
      <c r="B3" s="42" t="s">
        <v>14</v>
      </c>
      <c r="C3" s="43" t="s">
        <v>15</v>
      </c>
      <c r="D3" s="43" t="s">
        <v>16</v>
      </c>
      <c r="E3" s="44" t="s">
        <v>17</v>
      </c>
      <c r="F3" s="44" t="s">
        <v>21</v>
      </c>
      <c r="G3" s="44" t="s">
        <v>111</v>
      </c>
      <c r="H3" s="46">
        <v>154988.55000000002</v>
      </c>
      <c r="I3" s="45">
        <v>310.08873194349968</v>
      </c>
    </row>
    <row r="4" spans="1:11" x14ac:dyDescent="0.25">
      <c r="A4" s="42">
        <v>5</v>
      </c>
      <c r="B4" s="42" t="s">
        <v>14</v>
      </c>
      <c r="C4" s="43" t="s">
        <v>15</v>
      </c>
      <c r="D4" s="43" t="s">
        <v>16</v>
      </c>
      <c r="E4" s="44" t="s">
        <v>17</v>
      </c>
      <c r="F4" s="44" t="s">
        <v>22</v>
      </c>
      <c r="G4" s="44" t="s">
        <v>112</v>
      </c>
      <c r="H4" s="45">
        <v>517166.2</v>
      </c>
      <c r="I4" s="45">
        <v>1034.7048937617542</v>
      </c>
    </row>
    <row r="5" spans="1:11" x14ac:dyDescent="0.25">
      <c r="A5" s="42">
        <v>7</v>
      </c>
      <c r="B5" s="42" t="s">
        <v>14</v>
      </c>
      <c r="C5" s="43" t="s">
        <v>15</v>
      </c>
      <c r="D5" s="43" t="s">
        <v>16</v>
      </c>
      <c r="E5" s="44" t="s">
        <v>17</v>
      </c>
      <c r="F5" s="44" t="s">
        <v>23</v>
      </c>
      <c r="G5" s="44" t="s">
        <v>113</v>
      </c>
      <c r="H5" s="46">
        <v>573666.05000000005</v>
      </c>
      <c r="I5" s="45">
        <v>1147.7452883037895</v>
      </c>
    </row>
    <row r="6" spans="1:11" x14ac:dyDescent="0.25">
      <c r="A6" s="47">
        <v>9</v>
      </c>
      <c r="B6" s="47" t="s">
        <v>14</v>
      </c>
      <c r="C6" s="48" t="s">
        <v>15</v>
      </c>
      <c r="D6" s="48" t="s">
        <v>16</v>
      </c>
      <c r="E6" s="49" t="s">
        <v>17</v>
      </c>
      <c r="F6" s="49" t="s">
        <v>24</v>
      </c>
      <c r="G6" s="49" t="s">
        <v>114</v>
      </c>
      <c r="H6" s="50">
        <v>251538.5</v>
      </c>
      <c r="I6" s="50">
        <v>503.25817294225919</v>
      </c>
    </row>
    <row r="7" spans="1:11" x14ac:dyDescent="0.25">
      <c r="A7" s="47">
        <v>11</v>
      </c>
      <c r="B7" s="47" t="s">
        <v>14</v>
      </c>
      <c r="C7" s="48" t="s">
        <v>15</v>
      </c>
      <c r="D7" s="48" t="s">
        <v>16</v>
      </c>
      <c r="E7" s="49" t="s">
        <v>17</v>
      </c>
      <c r="F7" s="49" t="s">
        <v>25</v>
      </c>
      <c r="G7" s="49" t="s">
        <v>115</v>
      </c>
      <c r="H7" s="51">
        <v>265957.7</v>
      </c>
      <c r="I7" s="50">
        <v>532.10695850506181</v>
      </c>
    </row>
    <row r="8" spans="1:11" x14ac:dyDescent="0.25">
      <c r="A8" s="47">
        <v>13</v>
      </c>
      <c r="B8" s="47" t="s">
        <v>14</v>
      </c>
      <c r="C8" s="48" t="s">
        <v>15</v>
      </c>
      <c r="D8" s="48" t="s">
        <v>16</v>
      </c>
      <c r="E8" s="49" t="s">
        <v>17</v>
      </c>
      <c r="F8" s="49" t="s">
        <v>26</v>
      </c>
      <c r="G8" s="49" t="s">
        <v>116</v>
      </c>
      <c r="H8" s="50">
        <v>70195.900000000009</v>
      </c>
      <c r="I8" s="50">
        <v>140.44235924932977</v>
      </c>
    </row>
    <row r="9" spans="1:11" x14ac:dyDescent="0.25">
      <c r="A9" s="47">
        <v>17</v>
      </c>
      <c r="B9" s="47" t="s">
        <v>14</v>
      </c>
      <c r="C9" s="48" t="s">
        <v>15</v>
      </c>
      <c r="D9" s="48" t="s">
        <v>16</v>
      </c>
      <c r="E9" s="49" t="s">
        <v>17</v>
      </c>
      <c r="F9" s="49" t="s">
        <v>30</v>
      </c>
      <c r="G9" s="49" t="s">
        <v>117</v>
      </c>
      <c r="H9" s="50">
        <v>38872.550000000003</v>
      </c>
      <c r="I9" s="50">
        <v>77.773098315393554</v>
      </c>
    </row>
    <row r="10" spans="1:11" x14ac:dyDescent="0.25">
      <c r="A10" s="47">
        <v>19</v>
      </c>
      <c r="B10" s="47" t="s">
        <v>14</v>
      </c>
      <c r="C10" s="48" t="s">
        <v>15</v>
      </c>
      <c r="D10" s="48" t="s">
        <v>16</v>
      </c>
      <c r="E10" s="49" t="s">
        <v>17</v>
      </c>
      <c r="F10" s="49" t="s">
        <v>31</v>
      </c>
      <c r="G10" s="49" t="s">
        <v>118</v>
      </c>
      <c r="H10" s="51">
        <v>18023.55</v>
      </c>
      <c r="I10" s="50">
        <v>36.06008162938658</v>
      </c>
    </row>
    <row r="11" spans="1:11" ht="15.75" thickBot="1" x14ac:dyDescent="0.3">
      <c r="A11" s="52">
        <v>20</v>
      </c>
      <c r="B11" s="52" t="s">
        <v>14</v>
      </c>
      <c r="C11" s="53" t="s">
        <v>15</v>
      </c>
      <c r="D11" s="54" t="s">
        <v>16</v>
      </c>
      <c r="E11" s="54" t="s">
        <v>17</v>
      </c>
      <c r="F11" s="54" t="s">
        <v>32</v>
      </c>
      <c r="G11" s="54" t="s">
        <v>119</v>
      </c>
      <c r="H11" s="54">
        <v>43361.55</v>
      </c>
      <c r="I11" s="55">
        <v>86.754331559361376</v>
      </c>
    </row>
    <row r="12" spans="1:11" x14ac:dyDescent="0.25">
      <c r="A12" s="64">
        <v>22</v>
      </c>
      <c r="B12" s="65" t="s">
        <v>14</v>
      </c>
      <c r="C12" s="66" t="s">
        <v>15</v>
      </c>
      <c r="D12" s="67" t="s">
        <v>16</v>
      </c>
      <c r="E12" s="67" t="s">
        <v>17</v>
      </c>
      <c r="F12" s="67" t="s">
        <v>33</v>
      </c>
      <c r="G12" s="67" t="s">
        <v>120</v>
      </c>
      <c r="H12" s="68">
        <v>213381.44999999998</v>
      </c>
      <c r="I12" s="69">
        <v>426.91658997239006</v>
      </c>
      <c r="J12" s="38"/>
      <c r="K12" s="41">
        <f>+I12+I13</f>
        <v>564.7644151894682</v>
      </c>
    </row>
    <row r="13" spans="1:11" ht="15.75" thickBot="1" x14ac:dyDescent="0.3">
      <c r="A13" s="70">
        <v>42</v>
      </c>
      <c r="B13" s="71" t="s">
        <v>14</v>
      </c>
      <c r="C13" s="72" t="s">
        <v>15</v>
      </c>
      <c r="D13" s="73" t="s">
        <v>16</v>
      </c>
      <c r="E13" s="73" t="s">
        <v>17</v>
      </c>
      <c r="F13" s="73" t="s">
        <v>44</v>
      </c>
      <c r="G13" s="73" t="s">
        <v>129</v>
      </c>
      <c r="H13" s="74">
        <v>68899.099999999991</v>
      </c>
      <c r="I13" s="75">
        <v>137.84782521707814</v>
      </c>
      <c r="J13" s="39"/>
      <c r="K13" s="40"/>
    </row>
    <row r="14" spans="1:11" x14ac:dyDescent="0.25">
      <c r="A14" s="58">
        <v>24</v>
      </c>
      <c r="B14" s="58" t="s">
        <v>14</v>
      </c>
      <c r="C14" s="59" t="s">
        <v>15</v>
      </c>
      <c r="D14" s="60" t="s">
        <v>16</v>
      </c>
      <c r="E14" s="60" t="s">
        <v>17</v>
      </c>
      <c r="F14" s="60" t="s">
        <v>34</v>
      </c>
      <c r="G14" s="60" t="s">
        <v>121</v>
      </c>
      <c r="H14" s="60">
        <v>81568.100000000006</v>
      </c>
      <c r="I14" s="61">
        <v>163.19495018206555</v>
      </c>
    </row>
    <row r="15" spans="1:11" x14ac:dyDescent="0.25">
      <c r="A15" s="42">
        <v>26</v>
      </c>
      <c r="B15" s="42" t="s">
        <v>14</v>
      </c>
      <c r="C15" s="62" t="s">
        <v>15</v>
      </c>
      <c r="D15" s="46" t="s">
        <v>16</v>
      </c>
      <c r="E15" s="46" t="s">
        <v>17</v>
      </c>
      <c r="F15" s="46" t="s">
        <v>35</v>
      </c>
      <c r="G15" s="46" t="s">
        <v>122</v>
      </c>
      <c r="H15" s="63">
        <v>838018.6</v>
      </c>
      <c r="I15" s="45">
        <v>1676.6407906846464</v>
      </c>
    </row>
    <row r="16" spans="1:11" x14ac:dyDescent="0.25">
      <c r="A16" s="47">
        <v>30</v>
      </c>
      <c r="B16" s="47" t="s">
        <v>14</v>
      </c>
      <c r="C16" s="56" t="s">
        <v>15</v>
      </c>
      <c r="D16" s="51" t="s">
        <v>16</v>
      </c>
      <c r="E16" s="51" t="s">
        <v>17</v>
      </c>
      <c r="F16" s="51" t="s">
        <v>38</v>
      </c>
      <c r="G16" s="51" t="s">
        <v>123</v>
      </c>
      <c r="H16" s="57">
        <v>141022.70000000001</v>
      </c>
      <c r="I16" s="50">
        <v>282.14697291024771</v>
      </c>
    </row>
    <row r="17" spans="1:9" x14ac:dyDescent="0.25">
      <c r="A17" s="47">
        <v>32</v>
      </c>
      <c r="B17" s="47" t="s">
        <v>14</v>
      </c>
      <c r="C17" s="56" t="s">
        <v>15</v>
      </c>
      <c r="D17" s="51" t="s">
        <v>16</v>
      </c>
      <c r="E17" s="51" t="s">
        <v>17</v>
      </c>
      <c r="F17" s="51" t="s">
        <v>39</v>
      </c>
      <c r="G17" s="51" t="s">
        <v>124</v>
      </c>
      <c r="H17" s="51">
        <v>258895.25</v>
      </c>
      <c r="I17" s="50">
        <v>517.97697170981553</v>
      </c>
    </row>
    <row r="18" spans="1:9" x14ac:dyDescent="0.25">
      <c r="A18" s="42">
        <v>34</v>
      </c>
      <c r="B18" s="42" t="s">
        <v>14</v>
      </c>
      <c r="C18" s="62" t="s">
        <v>15</v>
      </c>
      <c r="D18" s="46" t="s">
        <v>16</v>
      </c>
      <c r="E18" s="46" t="s">
        <v>17</v>
      </c>
      <c r="F18" s="46" t="s">
        <v>40</v>
      </c>
      <c r="G18" s="46" t="s">
        <v>125</v>
      </c>
      <c r="H18" s="63">
        <v>55930.85</v>
      </c>
      <c r="I18" s="45">
        <v>111.90198471449722</v>
      </c>
    </row>
    <row r="19" spans="1:9" x14ac:dyDescent="0.25">
      <c r="A19" s="42">
        <v>36</v>
      </c>
      <c r="B19" s="42" t="s">
        <v>14</v>
      </c>
      <c r="C19" s="62" t="s">
        <v>15</v>
      </c>
      <c r="D19" s="46" t="s">
        <v>16</v>
      </c>
      <c r="E19" s="46" t="s">
        <v>17</v>
      </c>
      <c r="F19" s="46" t="s">
        <v>41</v>
      </c>
      <c r="G19" s="46" t="s">
        <v>126</v>
      </c>
      <c r="H19" s="46">
        <v>273706.8</v>
      </c>
      <c r="I19" s="45">
        <v>547.61073986635188</v>
      </c>
    </row>
    <row r="20" spans="1:9" x14ac:dyDescent="0.25">
      <c r="A20" s="42">
        <v>38</v>
      </c>
      <c r="B20" s="42" t="s">
        <v>14</v>
      </c>
      <c r="C20" s="62" t="s">
        <v>15</v>
      </c>
      <c r="D20" s="46" t="s">
        <v>16</v>
      </c>
      <c r="E20" s="46" t="s">
        <v>17</v>
      </c>
      <c r="F20" s="46" t="s">
        <v>42</v>
      </c>
      <c r="G20" s="46" t="s">
        <v>127</v>
      </c>
      <c r="H20" s="63">
        <v>37276.450000000004</v>
      </c>
      <c r="I20" s="45">
        <v>74.579748709535437</v>
      </c>
    </row>
    <row r="21" spans="1:9" x14ac:dyDescent="0.25">
      <c r="A21" s="42">
        <v>40</v>
      </c>
      <c r="B21" s="42" t="s">
        <v>14</v>
      </c>
      <c r="C21" s="62" t="s">
        <v>15</v>
      </c>
      <c r="D21" s="46" t="s">
        <v>16</v>
      </c>
      <c r="E21" s="46" t="s">
        <v>17</v>
      </c>
      <c r="F21" s="46" t="s">
        <v>43</v>
      </c>
      <c r="G21" s="46" t="s">
        <v>128</v>
      </c>
      <c r="H21" s="46">
        <v>205730.44999999998</v>
      </c>
      <c r="I21" s="45">
        <v>411.60907926853662</v>
      </c>
    </row>
    <row r="22" spans="1:9" x14ac:dyDescent="0.25">
      <c r="A22" s="42">
        <v>44</v>
      </c>
      <c r="B22" s="42" t="s">
        <v>14</v>
      </c>
      <c r="C22" s="62" t="s">
        <v>15</v>
      </c>
      <c r="D22" s="46" t="s">
        <v>16</v>
      </c>
      <c r="E22" s="46" t="s">
        <v>17</v>
      </c>
      <c r="F22" s="46" t="s">
        <v>45</v>
      </c>
      <c r="G22" s="46" t="s">
        <v>130</v>
      </c>
      <c r="H22" s="46">
        <v>115584.9</v>
      </c>
      <c r="I22" s="45">
        <v>231.25305109839542</v>
      </c>
    </row>
    <row r="23" spans="1:9" x14ac:dyDescent="0.25">
      <c r="A23" s="42">
        <v>46</v>
      </c>
      <c r="B23" s="42" t="s">
        <v>14</v>
      </c>
      <c r="C23" s="62" t="s">
        <v>15</v>
      </c>
      <c r="D23" s="46" t="s">
        <v>16</v>
      </c>
      <c r="E23" s="46" t="s">
        <v>17</v>
      </c>
      <c r="F23" s="46" t="s">
        <v>46</v>
      </c>
      <c r="G23" s="46" t="s">
        <v>131</v>
      </c>
      <c r="H23" s="63">
        <v>600080.70000000007</v>
      </c>
      <c r="I23" s="45">
        <v>1200.5936137009326</v>
      </c>
    </row>
    <row r="24" spans="1:9" x14ac:dyDescent="0.25">
      <c r="A24" s="42">
        <v>48</v>
      </c>
      <c r="B24" s="42" t="s">
        <v>14</v>
      </c>
      <c r="C24" s="62" t="s">
        <v>15</v>
      </c>
      <c r="D24" s="46" t="s">
        <v>16</v>
      </c>
      <c r="E24" s="46" t="s">
        <v>17</v>
      </c>
      <c r="F24" s="46" t="s">
        <v>47</v>
      </c>
      <c r="G24" s="46" t="s">
        <v>132</v>
      </c>
      <c r="H24" s="63">
        <v>105110.55</v>
      </c>
      <c r="I24" s="45">
        <v>210.29680685046617</v>
      </c>
    </row>
    <row r="25" spans="1:9" x14ac:dyDescent="0.25">
      <c r="A25" s="47">
        <v>50</v>
      </c>
      <c r="B25" s="47" t="s">
        <v>14</v>
      </c>
      <c r="C25" s="56" t="s">
        <v>15</v>
      </c>
      <c r="D25" s="51" t="s">
        <v>16</v>
      </c>
      <c r="E25" s="51" t="s">
        <v>17</v>
      </c>
      <c r="F25" s="51" t="s">
        <v>48</v>
      </c>
      <c r="G25" s="51" t="s">
        <v>133</v>
      </c>
      <c r="H25" s="51">
        <v>13257.6</v>
      </c>
      <c r="I25" s="50">
        <v>26.52474890960746</v>
      </c>
    </row>
    <row r="26" spans="1:9" x14ac:dyDescent="0.25">
      <c r="A26" s="47">
        <v>51</v>
      </c>
      <c r="B26" s="47" t="s">
        <v>14</v>
      </c>
      <c r="C26" s="48" t="s">
        <v>15</v>
      </c>
      <c r="D26" s="48" t="s">
        <v>16</v>
      </c>
      <c r="E26" s="49" t="s">
        <v>17</v>
      </c>
      <c r="F26" s="49" t="s">
        <v>49</v>
      </c>
      <c r="G26" s="49" t="s">
        <v>134</v>
      </c>
      <c r="H26" s="51">
        <v>15330.1</v>
      </c>
      <c r="I26" s="50">
        <v>30.671241646992918</v>
      </c>
    </row>
    <row r="27" spans="1:9" x14ac:dyDescent="0.25">
      <c r="A27" s="47">
        <v>52</v>
      </c>
      <c r="B27" s="47" t="s">
        <v>14</v>
      </c>
      <c r="C27" s="56" t="s">
        <v>15</v>
      </c>
      <c r="D27" s="51" t="s">
        <v>16</v>
      </c>
      <c r="E27" s="51" t="s">
        <v>17</v>
      </c>
      <c r="F27" s="51" t="s">
        <v>50</v>
      </c>
      <c r="G27" s="51" t="s">
        <v>135</v>
      </c>
      <c r="H27" s="57">
        <v>32587.9</v>
      </c>
      <c r="I27" s="50">
        <v>65.199271737825626</v>
      </c>
    </row>
    <row r="28" spans="1:9" x14ac:dyDescent="0.25">
      <c r="A28" s="42">
        <v>54</v>
      </c>
      <c r="B28" s="42" t="s">
        <v>14</v>
      </c>
      <c r="C28" s="62" t="s">
        <v>15</v>
      </c>
      <c r="D28" s="46" t="s">
        <v>16</v>
      </c>
      <c r="E28" s="46" t="s">
        <v>17</v>
      </c>
      <c r="F28" s="46" t="s">
        <v>51</v>
      </c>
      <c r="G28" s="46" t="s">
        <v>136</v>
      </c>
      <c r="H28" s="46">
        <v>95833.25</v>
      </c>
      <c r="I28" s="45">
        <v>191.73552478892401</v>
      </c>
    </row>
    <row r="29" spans="1:9" x14ac:dyDescent="0.25">
      <c r="A29" s="42">
        <v>60</v>
      </c>
      <c r="B29" s="42" t="s">
        <v>14</v>
      </c>
      <c r="C29" s="62" t="s">
        <v>15</v>
      </c>
      <c r="D29" s="46" t="s">
        <v>16</v>
      </c>
      <c r="E29" s="46" t="s">
        <v>17</v>
      </c>
      <c r="F29" s="46" t="s">
        <v>54</v>
      </c>
      <c r="G29" s="46" t="s">
        <v>137</v>
      </c>
      <c r="H29" s="63">
        <v>126657.84999999999</v>
      </c>
      <c r="I29" s="45">
        <v>253.40692649353767</v>
      </c>
    </row>
    <row r="30" spans="1:9" x14ac:dyDescent="0.25">
      <c r="A30" s="47">
        <v>62</v>
      </c>
      <c r="B30" s="47" t="s">
        <v>14</v>
      </c>
      <c r="C30" s="56" t="s">
        <v>15</v>
      </c>
      <c r="D30" s="51" t="s">
        <v>16</v>
      </c>
      <c r="E30" s="51" t="s">
        <v>17</v>
      </c>
      <c r="F30" s="51" t="s">
        <v>55</v>
      </c>
      <c r="G30" s="51" t="s">
        <v>138</v>
      </c>
      <c r="H30" s="51">
        <v>60419.850000000006</v>
      </c>
      <c r="I30" s="50">
        <v>120.88321795846507</v>
      </c>
    </row>
    <row r="31" spans="1:9" x14ac:dyDescent="0.25">
      <c r="A31" s="47">
        <v>64</v>
      </c>
      <c r="B31" s="47" t="s">
        <v>14</v>
      </c>
      <c r="C31" s="56" t="s">
        <v>15</v>
      </c>
      <c r="D31" s="51" t="s">
        <v>16</v>
      </c>
      <c r="E31" s="51" t="s">
        <v>17</v>
      </c>
      <c r="F31" s="51" t="s">
        <v>56</v>
      </c>
      <c r="G31" s="51" t="s">
        <v>139</v>
      </c>
      <c r="H31" s="57">
        <v>20916.45</v>
      </c>
      <c r="I31" s="50">
        <v>41.847965267496299</v>
      </c>
    </row>
    <row r="32" spans="1:9" x14ac:dyDescent="0.25">
      <c r="A32" s="42">
        <v>65</v>
      </c>
      <c r="B32" s="42" t="s">
        <v>14</v>
      </c>
      <c r="C32" s="43" t="s">
        <v>15</v>
      </c>
      <c r="D32" s="43" t="s">
        <v>16</v>
      </c>
      <c r="E32" s="44" t="s">
        <v>17</v>
      </c>
      <c r="F32" s="44" t="s">
        <v>57</v>
      </c>
      <c r="G32" s="44" t="s">
        <v>140</v>
      </c>
      <c r="H32" s="45">
        <v>16327.7</v>
      </c>
      <c r="I32" s="45">
        <v>32.667160177663959</v>
      </c>
    </row>
    <row r="33" spans="1:9" x14ac:dyDescent="0.25">
      <c r="A33" s="42">
        <v>66</v>
      </c>
      <c r="B33" s="42" t="s">
        <v>14</v>
      </c>
      <c r="C33" s="62" t="s">
        <v>15</v>
      </c>
      <c r="D33" s="46" t="s">
        <v>16</v>
      </c>
      <c r="E33" s="46" t="s">
        <v>17</v>
      </c>
      <c r="F33" s="46" t="s">
        <v>58</v>
      </c>
      <c r="G33" s="46" t="s">
        <v>141</v>
      </c>
      <c r="H33" s="46">
        <v>62015.9</v>
      </c>
      <c r="I33" s="45">
        <v>124.07646752831019</v>
      </c>
    </row>
    <row r="34" spans="1:9" x14ac:dyDescent="0.25">
      <c r="A34" s="47">
        <v>68</v>
      </c>
      <c r="B34" s="47" t="s">
        <v>14</v>
      </c>
      <c r="C34" s="56" t="s">
        <v>15</v>
      </c>
      <c r="D34" s="51" t="s">
        <v>16</v>
      </c>
      <c r="E34" s="51" t="s">
        <v>17</v>
      </c>
      <c r="F34" s="51" t="s">
        <v>59</v>
      </c>
      <c r="G34" s="51" t="s">
        <v>142</v>
      </c>
      <c r="H34" s="57">
        <v>12971</v>
      </c>
      <c r="I34" s="50">
        <v>25.951342483293985</v>
      </c>
    </row>
    <row r="35" spans="1:9" x14ac:dyDescent="0.25">
      <c r="A35" s="47">
        <v>69</v>
      </c>
      <c r="B35" s="47" t="s">
        <v>14</v>
      </c>
      <c r="C35" s="48" t="s">
        <v>15</v>
      </c>
      <c r="D35" s="48" t="s">
        <v>16</v>
      </c>
      <c r="E35" s="49" t="s">
        <v>17</v>
      </c>
      <c r="F35" s="49" t="s">
        <v>60</v>
      </c>
      <c r="G35" s="49" t="s">
        <v>143</v>
      </c>
      <c r="H35" s="50">
        <v>22811.8</v>
      </c>
      <c r="I35" s="50">
        <v>45.640030410947944</v>
      </c>
    </row>
    <row r="36" spans="1:9" x14ac:dyDescent="0.25">
      <c r="A36" s="47">
        <v>71</v>
      </c>
      <c r="B36" s="47" t="s">
        <v>14</v>
      </c>
      <c r="C36" s="48" t="s">
        <v>15</v>
      </c>
      <c r="D36" s="48" t="s">
        <v>16</v>
      </c>
      <c r="E36" s="49" t="s">
        <v>17</v>
      </c>
      <c r="F36" s="49" t="s">
        <v>61</v>
      </c>
      <c r="G36" s="49" t="s">
        <v>144</v>
      </c>
      <c r="H36" s="51">
        <v>83164.2</v>
      </c>
      <c r="I36" s="50">
        <v>166.38829978792364</v>
      </c>
    </row>
    <row r="37" spans="1:9" x14ac:dyDescent="0.25">
      <c r="A37" s="47">
        <v>73</v>
      </c>
      <c r="B37" s="47" t="s">
        <v>14</v>
      </c>
      <c r="C37" s="48" t="s">
        <v>15</v>
      </c>
      <c r="D37" s="48" t="s">
        <v>16</v>
      </c>
      <c r="E37" s="49" t="s">
        <v>17</v>
      </c>
      <c r="F37" s="49" t="s">
        <v>62</v>
      </c>
      <c r="G37" s="49" t="s">
        <v>145</v>
      </c>
      <c r="H37" s="50">
        <v>111694.45</v>
      </c>
      <c r="I37" s="50">
        <v>223.46934896562763</v>
      </c>
    </row>
    <row r="38" spans="1:9" x14ac:dyDescent="0.25">
      <c r="A38" s="47">
        <v>75</v>
      </c>
      <c r="B38" s="47" t="s">
        <v>14</v>
      </c>
      <c r="C38" s="48" t="s">
        <v>15</v>
      </c>
      <c r="D38" s="48" t="s">
        <v>16</v>
      </c>
      <c r="E38" s="49" t="s">
        <v>17</v>
      </c>
      <c r="F38" s="49" t="s">
        <v>63</v>
      </c>
      <c r="G38" s="49" t="s">
        <v>146</v>
      </c>
      <c r="H38" s="51">
        <v>46952.800000000003</v>
      </c>
      <c r="I38" s="50">
        <v>93.939418190548608</v>
      </c>
    </row>
    <row r="39" spans="1:9" x14ac:dyDescent="0.25">
      <c r="A39" s="47">
        <v>77</v>
      </c>
      <c r="B39" s="47" t="s">
        <v>14</v>
      </c>
      <c r="C39" s="48" t="s">
        <v>15</v>
      </c>
      <c r="D39" s="48" t="s">
        <v>16</v>
      </c>
      <c r="E39" s="49" t="s">
        <v>17</v>
      </c>
      <c r="F39" s="49" t="s">
        <v>64</v>
      </c>
      <c r="G39" s="49" t="s">
        <v>147</v>
      </c>
      <c r="H39" s="50">
        <v>26602.550000000003</v>
      </c>
      <c r="I39" s="50">
        <v>53.224260733864199</v>
      </c>
    </row>
    <row r="40" spans="1:9" x14ac:dyDescent="0.25">
      <c r="A40" s="47">
        <v>79</v>
      </c>
      <c r="B40" s="47" t="s">
        <v>14</v>
      </c>
      <c r="C40" s="48" t="s">
        <v>15</v>
      </c>
      <c r="D40" s="48" t="s">
        <v>16</v>
      </c>
      <c r="E40" s="49" t="s">
        <v>17</v>
      </c>
      <c r="F40" s="49" t="s">
        <v>65</v>
      </c>
      <c r="G40" s="49" t="s">
        <v>148</v>
      </c>
      <c r="H40" s="51">
        <v>50036.700000000004</v>
      </c>
      <c r="I40" s="50">
        <v>100.10943939818335</v>
      </c>
    </row>
    <row r="41" spans="1:9" x14ac:dyDescent="0.25">
      <c r="A41" s="47">
        <v>81</v>
      </c>
      <c r="B41" s="47" t="s">
        <v>14</v>
      </c>
      <c r="C41" s="48" t="s">
        <v>15</v>
      </c>
      <c r="D41" s="48" t="s">
        <v>16</v>
      </c>
      <c r="E41" s="49" t="s">
        <v>17</v>
      </c>
      <c r="F41" s="49" t="s">
        <v>66</v>
      </c>
      <c r="G41" s="76" t="s">
        <v>150</v>
      </c>
      <c r="H41" s="50">
        <v>243593.2</v>
      </c>
      <c r="I41" s="50">
        <v>487.36185026609581</v>
      </c>
    </row>
    <row r="42" spans="1:9" x14ac:dyDescent="0.25">
      <c r="A42" s="47">
        <v>83</v>
      </c>
      <c r="B42" s="47" t="s">
        <v>14</v>
      </c>
      <c r="C42" s="48" t="s">
        <v>15</v>
      </c>
      <c r="D42" s="48" t="s">
        <v>16</v>
      </c>
      <c r="E42" s="49" t="s">
        <v>17</v>
      </c>
      <c r="F42" s="49" t="s">
        <v>67</v>
      </c>
      <c r="G42" s="49" t="s">
        <v>149</v>
      </c>
      <c r="H42" s="51">
        <v>36578.15</v>
      </c>
      <c r="I42" s="50">
        <v>73.18264575247089</v>
      </c>
    </row>
    <row r="43" spans="1:9" x14ac:dyDescent="0.25">
      <c r="A43" s="47">
        <v>85</v>
      </c>
      <c r="B43" s="47" t="s">
        <v>14</v>
      </c>
      <c r="C43" s="48" t="s">
        <v>15</v>
      </c>
      <c r="D43" s="48" t="s">
        <v>16</v>
      </c>
      <c r="E43" s="49" t="s">
        <v>17</v>
      </c>
      <c r="F43" s="49" t="s">
        <v>68</v>
      </c>
      <c r="G43" s="76" t="s">
        <v>151</v>
      </c>
      <c r="H43" s="50">
        <v>95633.7</v>
      </c>
      <c r="I43" s="50">
        <v>191.33628106118204</v>
      </c>
    </row>
    <row r="44" spans="1:9" x14ac:dyDescent="0.25">
      <c r="A44" s="47">
        <v>87</v>
      </c>
      <c r="B44" s="47" t="s">
        <v>14</v>
      </c>
      <c r="C44" s="48" t="s">
        <v>15</v>
      </c>
      <c r="D44" s="48" t="s">
        <v>16</v>
      </c>
      <c r="E44" s="49" t="s">
        <v>17</v>
      </c>
      <c r="F44" s="49" t="s">
        <v>69</v>
      </c>
      <c r="G44" s="49" t="s">
        <v>152</v>
      </c>
      <c r="H44" s="51">
        <v>75482.95</v>
      </c>
      <c r="I44" s="50">
        <v>151.02026729622665</v>
      </c>
    </row>
    <row r="45" spans="1:9" x14ac:dyDescent="0.25">
      <c r="A45" s="47">
        <v>89</v>
      </c>
      <c r="B45" s="47" t="s">
        <v>14</v>
      </c>
      <c r="C45" s="48" t="s">
        <v>15</v>
      </c>
      <c r="D45" s="48" t="s">
        <v>16</v>
      </c>
      <c r="E45" s="49" t="s">
        <v>17</v>
      </c>
      <c r="F45" s="49" t="s">
        <v>70</v>
      </c>
      <c r="G45" s="49" t="s">
        <v>153</v>
      </c>
      <c r="H45" s="50">
        <v>165955.20000000001</v>
      </c>
      <c r="I45" s="50">
        <v>332.02993077507904</v>
      </c>
    </row>
    <row r="46" spans="1:9" x14ac:dyDescent="0.25">
      <c r="A46" s="47">
        <v>91</v>
      </c>
      <c r="B46" s="47" t="s">
        <v>14</v>
      </c>
      <c r="C46" s="48" t="s">
        <v>15</v>
      </c>
      <c r="D46" s="48" t="s">
        <v>16</v>
      </c>
      <c r="E46" s="49" t="s">
        <v>17</v>
      </c>
      <c r="F46" s="49" t="s">
        <v>71</v>
      </c>
      <c r="G46" s="49" t="s">
        <v>154</v>
      </c>
      <c r="H46" s="51">
        <v>139027.55000000002</v>
      </c>
      <c r="I46" s="50">
        <v>278.15523588491862</v>
      </c>
    </row>
    <row r="47" spans="1:9" x14ac:dyDescent="0.25">
      <c r="A47" s="47">
        <v>93</v>
      </c>
      <c r="B47" s="47" t="s">
        <v>14</v>
      </c>
      <c r="C47" s="48" t="s">
        <v>15</v>
      </c>
      <c r="D47" s="48" t="s">
        <v>16</v>
      </c>
      <c r="E47" s="49" t="s">
        <v>17</v>
      </c>
      <c r="F47" s="49" t="s">
        <v>72</v>
      </c>
      <c r="G47" s="49" t="s">
        <v>155</v>
      </c>
      <c r="H47" s="50">
        <v>70395.450000000012</v>
      </c>
      <c r="I47" s="50">
        <v>140.84160297707177</v>
      </c>
    </row>
    <row r="48" spans="1:9" x14ac:dyDescent="0.25">
      <c r="A48" s="47">
        <v>95</v>
      </c>
      <c r="B48" s="47" t="s">
        <v>14</v>
      </c>
      <c r="C48" s="48" t="s">
        <v>15</v>
      </c>
      <c r="D48" s="48" t="s">
        <v>16</v>
      </c>
      <c r="E48" s="49" t="s">
        <v>17</v>
      </c>
      <c r="F48" s="49" t="s">
        <v>73</v>
      </c>
      <c r="G48" s="49" t="s">
        <v>156</v>
      </c>
      <c r="H48" s="51">
        <v>26602.550000000003</v>
      </c>
      <c r="I48" s="50">
        <v>53.224260733864199</v>
      </c>
    </row>
    <row r="49" spans="1:9" x14ac:dyDescent="0.25">
      <c r="A49" s="47">
        <v>97</v>
      </c>
      <c r="B49" s="47" t="s">
        <v>14</v>
      </c>
      <c r="C49" s="48" t="s">
        <v>15</v>
      </c>
      <c r="D49" s="48" t="s">
        <v>16</v>
      </c>
      <c r="E49" s="49" t="s">
        <v>17</v>
      </c>
      <c r="F49" s="49" t="s">
        <v>74</v>
      </c>
      <c r="G49" s="49" t="s">
        <v>157</v>
      </c>
      <c r="H49" s="50">
        <v>156684.4</v>
      </c>
      <c r="I49" s="50">
        <v>313.48165339522228</v>
      </c>
    </row>
    <row r="50" spans="1:9" x14ac:dyDescent="0.25">
      <c r="A50" s="47">
        <v>103</v>
      </c>
      <c r="B50" s="47" t="s">
        <v>14</v>
      </c>
      <c r="C50" s="48" t="s">
        <v>15</v>
      </c>
      <c r="D50" s="48" t="s">
        <v>16</v>
      </c>
      <c r="E50" s="49" t="s">
        <v>17</v>
      </c>
      <c r="F50" s="49" t="s">
        <v>158</v>
      </c>
      <c r="G50" s="49" t="s">
        <v>159</v>
      </c>
      <c r="H50" s="51">
        <v>40133.599999999999</v>
      </c>
      <c r="I50" s="50">
        <v>80.296106598375417</v>
      </c>
    </row>
    <row r="51" spans="1:9" x14ac:dyDescent="0.25">
      <c r="A51" s="42">
        <v>105</v>
      </c>
      <c r="B51" s="42" t="s">
        <v>14</v>
      </c>
      <c r="C51" s="43" t="s">
        <v>15</v>
      </c>
      <c r="D51" s="43" t="s">
        <v>16</v>
      </c>
      <c r="E51" s="44" t="s">
        <v>17</v>
      </c>
      <c r="F51" s="44" t="s">
        <v>79</v>
      </c>
      <c r="G51" s="44" t="s">
        <v>160</v>
      </c>
      <c r="H51" s="45">
        <v>206122.8</v>
      </c>
      <c r="I51" s="45">
        <v>412.39406186227041</v>
      </c>
    </row>
    <row r="52" spans="1:9" x14ac:dyDescent="0.25">
      <c r="A52" s="42">
        <v>107</v>
      </c>
      <c r="B52" s="42" t="s">
        <v>14</v>
      </c>
      <c r="C52" s="43" t="s">
        <v>15</v>
      </c>
      <c r="D52" s="43" t="s">
        <v>16</v>
      </c>
      <c r="E52" s="44" t="s">
        <v>17</v>
      </c>
      <c r="F52" s="44" t="s">
        <v>80</v>
      </c>
      <c r="G52" s="44" t="s">
        <v>161</v>
      </c>
      <c r="H52" s="45">
        <v>54634</v>
      </c>
      <c r="I52" s="45">
        <v>109.30735064623265</v>
      </c>
    </row>
    <row r="53" spans="1:9" x14ac:dyDescent="0.25">
      <c r="A53" s="47">
        <v>109</v>
      </c>
      <c r="B53" s="47" t="s">
        <v>14</v>
      </c>
      <c r="C53" s="48" t="s">
        <v>15</v>
      </c>
      <c r="D53" s="48" t="s">
        <v>16</v>
      </c>
      <c r="E53" s="49" t="s">
        <v>17</v>
      </c>
      <c r="F53" s="49" t="s">
        <v>81</v>
      </c>
      <c r="G53" s="49" t="s">
        <v>162</v>
      </c>
      <c r="H53" s="51">
        <v>112692</v>
      </c>
      <c r="I53" s="50">
        <v>225.4651674602857</v>
      </c>
    </row>
    <row r="54" spans="1:9" x14ac:dyDescent="0.25">
      <c r="A54" s="47">
        <v>111</v>
      </c>
      <c r="B54" s="47" t="s">
        <v>14</v>
      </c>
      <c r="C54" s="48" t="s">
        <v>15</v>
      </c>
      <c r="D54" s="48" t="s">
        <v>16</v>
      </c>
      <c r="E54" s="49" t="s">
        <v>17</v>
      </c>
      <c r="F54" s="49" t="s">
        <v>82</v>
      </c>
      <c r="G54" s="49" t="s">
        <v>163</v>
      </c>
      <c r="H54" s="50">
        <v>135236.85</v>
      </c>
      <c r="I54" s="50">
        <v>270.57110559801532</v>
      </c>
    </row>
    <row r="55" spans="1:9" x14ac:dyDescent="0.25">
      <c r="A55" s="42">
        <v>113</v>
      </c>
      <c r="B55" s="42" t="s">
        <v>14</v>
      </c>
      <c r="C55" s="43" t="s">
        <v>15</v>
      </c>
      <c r="D55" s="43" t="s">
        <v>16</v>
      </c>
      <c r="E55" s="44" t="s">
        <v>17</v>
      </c>
      <c r="F55" s="44" t="s">
        <v>83</v>
      </c>
      <c r="G55" s="44" t="s">
        <v>164</v>
      </c>
      <c r="H55" s="46">
        <v>55033</v>
      </c>
      <c r="I55" s="45">
        <v>110.1056380296907</v>
      </c>
    </row>
    <row r="56" spans="1:9" x14ac:dyDescent="0.25">
      <c r="A56" s="42">
        <v>115</v>
      </c>
      <c r="B56" s="42" t="s">
        <v>14</v>
      </c>
      <c r="C56" s="43" t="s">
        <v>15</v>
      </c>
      <c r="D56" s="43" t="s">
        <v>16</v>
      </c>
      <c r="E56" s="44" t="s">
        <v>17</v>
      </c>
      <c r="F56" s="44" t="s">
        <v>84</v>
      </c>
      <c r="G56" s="44" t="s">
        <v>165</v>
      </c>
      <c r="H56" s="45">
        <v>22313.05</v>
      </c>
      <c r="I56" s="45">
        <v>44.642171181625386</v>
      </c>
    </row>
    <row r="57" spans="1:9" x14ac:dyDescent="0.25">
      <c r="A57" s="42">
        <v>116</v>
      </c>
      <c r="B57" s="42" t="s">
        <v>14</v>
      </c>
      <c r="C57" s="62" t="s">
        <v>15</v>
      </c>
      <c r="D57" s="46" t="s">
        <v>16</v>
      </c>
      <c r="E57" s="46" t="s">
        <v>17</v>
      </c>
      <c r="F57" s="46" t="s">
        <v>85</v>
      </c>
      <c r="G57" s="46" t="s">
        <v>166</v>
      </c>
      <c r="H57" s="63">
        <v>131645.65</v>
      </c>
      <c r="I57" s="45">
        <v>263.38611900284104</v>
      </c>
    </row>
    <row r="58" spans="1:9" x14ac:dyDescent="0.25">
      <c r="A58" s="42">
        <v>118</v>
      </c>
      <c r="B58" s="42" t="s">
        <v>14</v>
      </c>
      <c r="C58" s="62" t="s">
        <v>15</v>
      </c>
      <c r="D58" s="46" t="s">
        <v>16</v>
      </c>
      <c r="E58" s="46" t="s">
        <v>17</v>
      </c>
      <c r="F58" s="46" t="s">
        <v>86</v>
      </c>
      <c r="G58" s="46" t="s">
        <v>167</v>
      </c>
      <c r="H58" s="46">
        <v>95833.25</v>
      </c>
      <c r="I58" s="45">
        <v>191.73552478892401</v>
      </c>
    </row>
    <row r="59" spans="1:9" x14ac:dyDescent="0.25">
      <c r="A59" s="42">
        <v>120</v>
      </c>
      <c r="B59" s="42" t="s">
        <v>14</v>
      </c>
      <c r="C59" s="62" t="s">
        <v>15</v>
      </c>
      <c r="D59" s="46" t="s">
        <v>16</v>
      </c>
      <c r="E59" s="46" t="s">
        <v>17</v>
      </c>
      <c r="F59" s="46" t="s">
        <v>87</v>
      </c>
      <c r="G59" s="46" t="s">
        <v>168</v>
      </c>
      <c r="H59" s="63">
        <v>57227.649999999994</v>
      </c>
      <c r="I59" s="45">
        <v>114.49651874674882</v>
      </c>
    </row>
    <row r="60" spans="1:9" x14ac:dyDescent="0.25">
      <c r="A60" s="42">
        <v>124</v>
      </c>
      <c r="B60" s="42" t="s">
        <v>14</v>
      </c>
      <c r="C60" s="62" t="s">
        <v>15</v>
      </c>
      <c r="D60" s="46" t="s">
        <v>16</v>
      </c>
      <c r="E60" s="46" t="s">
        <v>17</v>
      </c>
      <c r="F60" s="46" t="s">
        <v>90</v>
      </c>
      <c r="G60" s="46" t="s">
        <v>169</v>
      </c>
      <c r="H60" s="63">
        <v>111494.9</v>
      </c>
      <c r="I60" s="45">
        <v>223.07010523788563</v>
      </c>
    </row>
    <row r="61" spans="1:9" x14ac:dyDescent="0.25">
      <c r="A61" s="42">
        <v>126</v>
      </c>
      <c r="B61" s="42" t="s">
        <v>14</v>
      </c>
      <c r="C61" s="62" t="s">
        <v>15</v>
      </c>
      <c r="D61" s="46" t="s">
        <v>16</v>
      </c>
      <c r="E61" s="46" t="s">
        <v>17</v>
      </c>
      <c r="F61" s="46" t="s">
        <v>91</v>
      </c>
      <c r="G61" s="46" t="s">
        <v>170</v>
      </c>
      <c r="H61" s="46">
        <v>305076.90000000002</v>
      </c>
      <c r="I61" s="45">
        <v>610.37353447241014</v>
      </c>
    </row>
    <row r="62" spans="1:9" x14ac:dyDescent="0.25">
      <c r="A62" s="42">
        <v>128</v>
      </c>
      <c r="B62" s="42" t="s">
        <v>14</v>
      </c>
      <c r="C62" s="62" t="s">
        <v>15</v>
      </c>
      <c r="D62" s="46" t="s">
        <v>16</v>
      </c>
      <c r="E62" s="46" t="s">
        <v>17</v>
      </c>
      <c r="F62" s="46" t="s">
        <v>92</v>
      </c>
      <c r="G62" s="46" t="s">
        <v>171</v>
      </c>
      <c r="H62" s="63">
        <v>56130.299999999996</v>
      </c>
      <c r="I62" s="45">
        <v>112.30102837021327</v>
      </c>
    </row>
    <row r="63" spans="1:9" x14ac:dyDescent="0.25">
      <c r="A63" s="42">
        <v>130</v>
      </c>
      <c r="B63" s="42" t="s">
        <v>14</v>
      </c>
      <c r="C63" s="62" t="s">
        <v>15</v>
      </c>
      <c r="D63" s="46" t="s">
        <v>16</v>
      </c>
      <c r="E63" s="46" t="s">
        <v>17</v>
      </c>
      <c r="F63" s="46" t="s">
        <v>93</v>
      </c>
      <c r="G63" s="46" t="s">
        <v>172</v>
      </c>
      <c r="H63" s="63">
        <v>72590.05</v>
      </c>
      <c r="I63" s="45">
        <v>145.23238365811693</v>
      </c>
    </row>
    <row r="64" spans="1:9" x14ac:dyDescent="0.25">
      <c r="A64" s="42">
        <v>132</v>
      </c>
      <c r="B64" s="42" t="s">
        <v>14</v>
      </c>
      <c r="C64" s="62" t="s">
        <v>15</v>
      </c>
      <c r="D64" s="46" t="s">
        <v>16</v>
      </c>
      <c r="E64" s="46" t="s">
        <v>17</v>
      </c>
      <c r="F64" s="46" t="s">
        <v>94</v>
      </c>
      <c r="G64" s="46" t="s">
        <v>174</v>
      </c>
      <c r="H64" s="46">
        <v>8599.5499999999993</v>
      </c>
      <c r="I64" s="45">
        <v>17.205293905806087</v>
      </c>
    </row>
    <row r="65" spans="1:14" x14ac:dyDescent="0.25">
      <c r="A65" s="42">
        <v>133</v>
      </c>
      <c r="B65" s="42" t="s">
        <v>14</v>
      </c>
      <c r="C65" s="43" t="s">
        <v>15</v>
      </c>
      <c r="D65" s="43" t="s">
        <v>16</v>
      </c>
      <c r="E65" s="44" t="s">
        <v>17</v>
      </c>
      <c r="F65" s="44" t="s">
        <v>95</v>
      </c>
      <c r="G65" s="46" t="s">
        <v>175</v>
      </c>
      <c r="H65" s="46">
        <v>22412.799999999999</v>
      </c>
      <c r="I65" s="45">
        <v>44.841743027489898</v>
      </c>
    </row>
    <row r="66" spans="1:14" x14ac:dyDescent="0.25">
      <c r="A66" s="42">
        <v>135</v>
      </c>
      <c r="B66" s="42" t="s">
        <v>14</v>
      </c>
      <c r="C66" s="43" t="s">
        <v>15</v>
      </c>
      <c r="D66" s="43" t="s">
        <v>16</v>
      </c>
      <c r="E66" s="44" t="s">
        <v>17</v>
      </c>
      <c r="F66" s="44" t="s">
        <v>96</v>
      </c>
      <c r="G66" s="46" t="s">
        <v>173</v>
      </c>
      <c r="H66" s="45">
        <v>42563.5</v>
      </c>
      <c r="I66" s="45">
        <v>85.157656756432317</v>
      </c>
    </row>
    <row r="67" spans="1:14" x14ac:dyDescent="0.25">
      <c r="A67" s="42">
        <v>137</v>
      </c>
      <c r="B67" s="42" t="s">
        <v>14</v>
      </c>
      <c r="C67" s="43" t="s">
        <v>15</v>
      </c>
      <c r="D67" s="43" t="s">
        <v>16</v>
      </c>
      <c r="E67" s="44" t="s">
        <v>17</v>
      </c>
      <c r="F67" s="44" t="s">
        <v>97</v>
      </c>
      <c r="G67" s="44" t="s">
        <v>177</v>
      </c>
      <c r="H67" s="46">
        <v>183758</v>
      </c>
      <c r="I67" s="45">
        <v>367.64835340722658</v>
      </c>
    </row>
    <row r="68" spans="1:14" x14ac:dyDescent="0.25">
      <c r="A68" s="47">
        <v>139</v>
      </c>
      <c r="B68" s="47" t="s">
        <v>14</v>
      </c>
      <c r="C68" s="48" t="s">
        <v>15</v>
      </c>
      <c r="D68" s="48" t="s">
        <v>16</v>
      </c>
      <c r="E68" s="49" t="s">
        <v>17</v>
      </c>
      <c r="F68" s="49" t="s">
        <v>98</v>
      </c>
      <c r="G68" s="49" t="s">
        <v>176</v>
      </c>
      <c r="H68" s="50">
        <v>223733</v>
      </c>
      <c r="I68" s="50">
        <v>447.62714577247812</v>
      </c>
    </row>
    <row r="69" spans="1:14" x14ac:dyDescent="0.25">
      <c r="A69" s="47">
        <v>141</v>
      </c>
      <c r="B69" s="47" t="s">
        <v>14</v>
      </c>
      <c r="C69" s="48" t="s">
        <v>15</v>
      </c>
      <c r="D69" s="48" t="s">
        <v>16</v>
      </c>
      <c r="E69" s="49" t="s">
        <v>17</v>
      </c>
      <c r="F69" s="49" t="s">
        <v>99</v>
      </c>
      <c r="G69" s="49" t="s">
        <v>178</v>
      </c>
      <c r="H69" s="51">
        <v>30692.550000000003</v>
      </c>
      <c r="I69" s="50">
        <v>61.407206594373982</v>
      </c>
    </row>
    <row r="70" spans="1:14" x14ac:dyDescent="0.25">
      <c r="A70" s="42">
        <v>143</v>
      </c>
      <c r="B70" s="42" t="s">
        <v>14</v>
      </c>
      <c r="C70" s="43" t="s">
        <v>15</v>
      </c>
      <c r="D70" s="43" t="s">
        <v>16</v>
      </c>
      <c r="E70" s="44" t="s">
        <v>17</v>
      </c>
      <c r="F70" s="44" t="s">
        <v>100</v>
      </c>
      <c r="G70" s="44" t="s">
        <v>179</v>
      </c>
      <c r="H70" s="45">
        <v>40269.1</v>
      </c>
      <c r="I70" s="45">
        <v>80.567204193509667</v>
      </c>
    </row>
    <row r="71" spans="1:14" x14ac:dyDescent="0.25">
      <c r="A71" s="42">
        <v>145</v>
      </c>
      <c r="B71" s="42" t="s">
        <v>14</v>
      </c>
      <c r="C71" s="43" t="s">
        <v>15</v>
      </c>
      <c r="D71" s="43" t="s">
        <v>16</v>
      </c>
      <c r="E71" s="44" t="s">
        <v>17</v>
      </c>
      <c r="F71" s="44" t="s">
        <v>101</v>
      </c>
      <c r="G71" s="44" t="s">
        <v>180</v>
      </c>
      <c r="H71" s="46">
        <v>35979.65</v>
      </c>
      <c r="I71" s="45">
        <v>71.985214677283821</v>
      </c>
    </row>
    <row r="72" spans="1:14" x14ac:dyDescent="0.25">
      <c r="A72" s="42">
        <v>147</v>
      </c>
      <c r="B72" s="42" t="s">
        <v>14</v>
      </c>
      <c r="C72" s="43" t="s">
        <v>15</v>
      </c>
      <c r="D72" s="43" t="s">
        <v>16</v>
      </c>
      <c r="E72" s="44" t="s">
        <v>17</v>
      </c>
      <c r="F72" s="44" t="s">
        <v>102</v>
      </c>
      <c r="G72" s="44" t="s">
        <v>181</v>
      </c>
      <c r="H72" s="45">
        <v>9817.85</v>
      </c>
      <c r="I72" s="45">
        <v>19.642771397703175</v>
      </c>
    </row>
    <row r="73" spans="1:14" x14ac:dyDescent="0.25">
      <c r="A73" s="42">
        <v>148</v>
      </c>
      <c r="B73" s="42" t="s">
        <v>14</v>
      </c>
      <c r="C73" s="62" t="s">
        <v>15</v>
      </c>
      <c r="D73" s="46" t="s">
        <v>16</v>
      </c>
      <c r="E73" s="46" t="s">
        <v>17</v>
      </c>
      <c r="F73" s="46" t="s">
        <v>103</v>
      </c>
      <c r="G73" s="46" t="s">
        <v>182</v>
      </c>
      <c r="H73" s="46">
        <v>101619.04999999999</v>
      </c>
      <c r="I73" s="45">
        <v>203.31129206514342</v>
      </c>
    </row>
    <row r="74" spans="1:14" x14ac:dyDescent="0.25">
      <c r="A74" s="42">
        <v>150</v>
      </c>
      <c r="B74" s="42" t="s">
        <v>14</v>
      </c>
      <c r="C74" s="62" t="s">
        <v>15</v>
      </c>
      <c r="D74" s="46" t="s">
        <v>16</v>
      </c>
      <c r="E74" s="46" t="s">
        <v>17</v>
      </c>
      <c r="F74" s="46" t="s">
        <v>104</v>
      </c>
      <c r="G74" s="46" t="s">
        <v>183</v>
      </c>
      <c r="H74" s="63">
        <v>32488.199999999997</v>
      </c>
      <c r="I74" s="45">
        <v>64.999799927974067</v>
      </c>
    </row>
    <row r="75" spans="1:14" ht="15.75" thickBot="1" x14ac:dyDescent="0.3">
      <c r="A75" s="82">
        <v>152</v>
      </c>
      <c r="B75" s="82" t="s">
        <v>14</v>
      </c>
      <c r="C75" s="83" t="s">
        <v>15</v>
      </c>
      <c r="D75" s="84" t="s">
        <v>16</v>
      </c>
      <c r="E75" s="84" t="s">
        <v>17</v>
      </c>
      <c r="F75" s="84" t="s">
        <v>105</v>
      </c>
      <c r="G75" s="84" t="s">
        <v>184</v>
      </c>
      <c r="H75" s="84">
        <v>76931.399999999994</v>
      </c>
      <c r="I75" s="85">
        <v>153.91821055580007</v>
      </c>
      <c r="J75" s="117">
        <f>SUM(I2:I75)</f>
        <v>19187.920551398503</v>
      </c>
      <c r="L75" s="104" t="s">
        <v>284</v>
      </c>
      <c r="M75" s="105">
        <v>0.13</v>
      </c>
      <c r="N75" s="104" t="s">
        <v>285</v>
      </c>
    </row>
    <row r="76" spans="1:14" x14ac:dyDescent="0.25">
      <c r="A76" s="89"/>
      <c r="B76" s="90" t="s">
        <v>14</v>
      </c>
      <c r="C76" s="91" t="s">
        <v>15</v>
      </c>
      <c r="D76" s="91" t="s">
        <v>16</v>
      </c>
      <c r="E76" s="90" t="s">
        <v>17</v>
      </c>
      <c r="F76" s="91" t="s">
        <v>280</v>
      </c>
      <c r="G76" s="91" t="s">
        <v>283</v>
      </c>
      <c r="H76" s="92">
        <v>70468.399999999994</v>
      </c>
      <c r="I76" s="92">
        <v>140.99</v>
      </c>
      <c r="J76" s="93"/>
      <c r="L76" s="101">
        <v>70468.399999999994</v>
      </c>
      <c r="M76" s="102">
        <f>+L76*0.13</f>
        <v>9160.8919999999998</v>
      </c>
      <c r="N76" s="103">
        <f>+L76+M76</f>
        <v>79629.291999999987</v>
      </c>
    </row>
    <row r="77" spans="1:14" x14ac:dyDescent="0.25">
      <c r="A77" s="94"/>
      <c r="B77" s="86" t="s">
        <v>14</v>
      </c>
      <c r="C77" s="87" t="s">
        <v>15</v>
      </c>
      <c r="D77" s="87" t="s">
        <v>16</v>
      </c>
      <c r="E77" s="86" t="s">
        <v>17</v>
      </c>
      <c r="F77" s="87" t="s">
        <v>281</v>
      </c>
      <c r="G77" s="87" t="s">
        <v>283</v>
      </c>
      <c r="H77" s="88">
        <v>56499.85</v>
      </c>
      <c r="I77" s="88">
        <v>113.04</v>
      </c>
      <c r="J77" s="95">
        <f>+I76+I77+I78</f>
        <v>777.06999999999994</v>
      </c>
      <c r="L77" s="101">
        <v>56499.85</v>
      </c>
      <c r="M77" s="102">
        <f t="shared" ref="M77:M79" si="0">+L77*0.13</f>
        <v>7344.9804999999997</v>
      </c>
      <c r="N77" s="103">
        <f t="shared" ref="N77:N79" si="1">+L77+M77</f>
        <v>63844.830499999996</v>
      </c>
    </row>
    <row r="78" spans="1:14" ht="15.75" thickBot="1" x14ac:dyDescent="0.3">
      <c r="A78" s="96"/>
      <c r="B78" s="97" t="s">
        <v>14</v>
      </c>
      <c r="C78" s="98" t="s">
        <v>15</v>
      </c>
      <c r="D78" s="98" t="s">
        <v>16</v>
      </c>
      <c r="E78" s="97" t="s">
        <v>17</v>
      </c>
      <c r="F78" s="98" t="s">
        <v>282</v>
      </c>
      <c r="G78" s="98" t="s">
        <v>283</v>
      </c>
      <c r="H78" s="99">
        <v>261425.95</v>
      </c>
      <c r="I78" s="99">
        <v>523.04</v>
      </c>
      <c r="J78" s="100"/>
      <c r="L78" s="101">
        <v>261425.95</v>
      </c>
      <c r="M78" s="102">
        <f t="shared" si="0"/>
        <v>33985.373500000002</v>
      </c>
      <c r="N78" s="103">
        <f t="shared" si="1"/>
        <v>295411.3235</v>
      </c>
    </row>
    <row r="79" spans="1:14" ht="15.75" thickBot="1" x14ac:dyDescent="0.3">
      <c r="L79" s="106">
        <f>SUM(L76:L78)</f>
        <v>388394.2</v>
      </c>
      <c r="M79" s="106">
        <f t="shared" si="0"/>
        <v>50491.246000000006</v>
      </c>
      <c r="N79" s="106">
        <f t="shared" si="1"/>
        <v>438885.446</v>
      </c>
    </row>
    <row r="80" spans="1:14" ht="15.75" thickTop="1" x14ac:dyDescent="0.25">
      <c r="N80" s="107"/>
    </row>
    <row r="81" spans="1:9" ht="15.75" thickBot="1" x14ac:dyDescent="0.3"/>
    <row r="82" spans="1:9" ht="15.75" thickBot="1" x14ac:dyDescent="0.3">
      <c r="A82" s="23">
        <v>154</v>
      </c>
      <c r="B82" s="24" t="s">
        <v>14</v>
      </c>
      <c r="C82" s="25" t="s">
        <v>19</v>
      </c>
      <c r="D82" s="25" t="s">
        <v>106</v>
      </c>
      <c r="E82" s="24" t="s">
        <v>107</v>
      </c>
      <c r="F82" s="25" t="s">
        <v>108</v>
      </c>
      <c r="G82" s="25"/>
      <c r="H82" s="26">
        <f>SUM(H2:H81)</f>
        <v>9978900.6500000041</v>
      </c>
      <c r="I82" s="27">
        <f>SUM(I2:I81)</f>
        <v>19964.990551398507</v>
      </c>
    </row>
  </sheetData>
  <autoFilter ref="A1:I75" xr:uid="{00000000-0009-0000-0000-000001000000}"/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4CDD-61C3-488E-91E7-57574A634863}">
  <dimension ref="A1:O166"/>
  <sheetViews>
    <sheetView topLeftCell="C1" workbookViewId="0">
      <selection activeCell="I2" sqref="I2:I153"/>
    </sheetView>
  </sheetViews>
  <sheetFormatPr defaultColWidth="11.42578125" defaultRowHeight="15" x14ac:dyDescent="0.25"/>
  <cols>
    <col min="1" max="1" width="10.85546875" customWidth="1"/>
    <col min="2" max="2" width="15" style="1" customWidth="1"/>
    <col min="3" max="3" width="8.28515625" style="1" bestFit="1" customWidth="1"/>
    <col min="4" max="5" width="17.5703125" customWidth="1"/>
    <col min="6" max="6" width="12.85546875" style="1" customWidth="1"/>
    <col min="7" max="7" width="67.5703125" customWidth="1"/>
    <col min="8" max="8" width="22" style="17" customWidth="1"/>
    <col min="9" max="9" width="15.85546875" style="17" bestFit="1" customWidth="1"/>
    <col min="10" max="10" width="16.5703125" style="15" bestFit="1" customWidth="1"/>
    <col min="11" max="11" width="16.42578125" style="15" customWidth="1"/>
    <col min="12" max="13" width="12.7109375" bestFit="1" customWidth="1"/>
  </cols>
  <sheetData>
    <row r="1" spans="1:14" ht="15.75" thickBot="1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spans="1:14" x14ac:dyDescent="0.25">
      <c r="A2" t="s">
        <v>13</v>
      </c>
      <c r="B2" s="1">
        <v>1</v>
      </c>
      <c r="C2" s="1" t="s">
        <v>14</v>
      </c>
      <c r="D2" s="5" t="s">
        <v>15</v>
      </c>
      <c r="E2" s="5" t="s">
        <v>16</v>
      </c>
      <c r="F2" s="6" t="s">
        <v>17</v>
      </c>
      <c r="G2" s="6" t="s">
        <v>18</v>
      </c>
      <c r="H2" s="7">
        <v>588968.10000000009</v>
      </c>
      <c r="I2" s="7">
        <v>1178.3604097475093</v>
      </c>
      <c r="J2"/>
      <c r="K2"/>
      <c r="N2" s="8"/>
    </row>
    <row r="3" spans="1:14" x14ac:dyDescent="0.25">
      <c r="A3" t="s">
        <v>13</v>
      </c>
      <c r="B3" s="1">
        <v>2</v>
      </c>
      <c r="C3" s="1" t="s">
        <v>14</v>
      </c>
      <c r="D3" s="9" t="s">
        <v>19</v>
      </c>
      <c r="E3" s="10" t="s">
        <v>20</v>
      </c>
      <c r="F3" s="10" t="s">
        <v>17</v>
      </c>
      <c r="G3" s="10" t="s">
        <v>18</v>
      </c>
      <c r="H3" s="11">
        <v>73934.2</v>
      </c>
      <c r="I3" s="7">
        <v>147.92165179464607</v>
      </c>
      <c r="J3"/>
      <c r="K3"/>
      <c r="N3" s="8"/>
    </row>
    <row r="4" spans="1:14" x14ac:dyDescent="0.25">
      <c r="A4" t="s">
        <v>13</v>
      </c>
      <c r="B4" s="1">
        <v>3</v>
      </c>
      <c r="C4" s="1" t="s">
        <v>14</v>
      </c>
      <c r="D4" s="5" t="s">
        <v>15</v>
      </c>
      <c r="E4" s="5" t="s">
        <v>16</v>
      </c>
      <c r="F4" s="6" t="s">
        <v>17</v>
      </c>
      <c r="G4" s="6" t="s">
        <v>21</v>
      </c>
      <c r="H4" s="12">
        <v>154988.55000000002</v>
      </c>
      <c r="I4" s="7">
        <v>310.08873194349968</v>
      </c>
      <c r="J4"/>
      <c r="K4"/>
      <c r="N4" s="8"/>
    </row>
    <row r="5" spans="1:14" x14ac:dyDescent="0.25">
      <c r="A5" t="s">
        <v>13</v>
      </c>
      <c r="B5" s="1">
        <v>4</v>
      </c>
      <c r="C5" s="1" t="s">
        <v>14</v>
      </c>
      <c r="D5" s="9" t="s">
        <v>19</v>
      </c>
      <c r="E5" s="10" t="s">
        <v>20</v>
      </c>
      <c r="F5" s="10" t="s">
        <v>17</v>
      </c>
      <c r="G5" s="10" t="s">
        <v>21</v>
      </c>
      <c r="H5" s="12">
        <v>19207.55</v>
      </c>
      <c r="I5" s="7">
        <v>38.4289344163899</v>
      </c>
      <c r="J5"/>
      <c r="K5"/>
      <c r="N5" s="8"/>
    </row>
    <row r="6" spans="1:14" x14ac:dyDescent="0.25">
      <c r="A6" t="s">
        <v>13</v>
      </c>
      <c r="B6" s="1">
        <v>5</v>
      </c>
      <c r="C6" s="1" t="s">
        <v>14</v>
      </c>
      <c r="D6" s="5" t="s">
        <v>15</v>
      </c>
      <c r="E6" s="5" t="s">
        <v>16</v>
      </c>
      <c r="F6" s="6" t="s">
        <v>17</v>
      </c>
      <c r="G6" s="6" t="s">
        <v>22</v>
      </c>
      <c r="H6" s="7">
        <v>517166.2</v>
      </c>
      <c r="I6" s="7">
        <v>1034.7048937617542</v>
      </c>
      <c r="J6"/>
      <c r="K6"/>
      <c r="N6" s="8"/>
    </row>
    <row r="7" spans="1:14" x14ac:dyDescent="0.25">
      <c r="A7" t="s">
        <v>13</v>
      </c>
      <c r="B7" s="1">
        <v>6</v>
      </c>
      <c r="C7" s="1" t="s">
        <v>14</v>
      </c>
      <c r="D7" s="9" t="s">
        <v>19</v>
      </c>
      <c r="E7" s="10" t="s">
        <v>20</v>
      </c>
      <c r="F7" s="10" t="s">
        <v>17</v>
      </c>
      <c r="G7" s="10" t="s">
        <v>22</v>
      </c>
      <c r="H7" s="11">
        <v>64874.95</v>
      </c>
      <c r="I7" s="7">
        <v>129.79662678564281</v>
      </c>
      <c r="J7"/>
      <c r="K7"/>
      <c r="N7" s="8"/>
    </row>
    <row r="8" spans="1:14" x14ac:dyDescent="0.25">
      <c r="A8" t="s">
        <v>13</v>
      </c>
      <c r="B8" s="1">
        <v>7</v>
      </c>
      <c r="C8" s="1" t="s">
        <v>14</v>
      </c>
      <c r="D8" s="5" t="s">
        <v>15</v>
      </c>
      <c r="E8" s="5" t="s">
        <v>16</v>
      </c>
      <c r="F8" s="6" t="s">
        <v>17</v>
      </c>
      <c r="G8" s="6" t="s">
        <v>23</v>
      </c>
      <c r="H8" s="12">
        <v>573666.05000000005</v>
      </c>
      <c r="I8" s="7">
        <v>1147.7452883037895</v>
      </c>
      <c r="J8"/>
      <c r="K8"/>
      <c r="N8" s="8"/>
    </row>
    <row r="9" spans="1:14" x14ac:dyDescent="0.25">
      <c r="A9" t="s">
        <v>13</v>
      </c>
      <c r="B9" s="1">
        <v>8</v>
      </c>
      <c r="C9" s="1" t="s">
        <v>14</v>
      </c>
      <c r="D9" s="9" t="s">
        <v>19</v>
      </c>
      <c r="E9" s="10" t="s">
        <v>20</v>
      </c>
      <c r="F9" s="10" t="s">
        <v>17</v>
      </c>
      <c r="G9" s="10" t="s">
        <v>23</v>
      </c>
      <c r="H9" s="12">
        <v>72003.5</v>
      </c>
      <c r="I9" s="7">
        <v>144.05886119002841</v>
      </c>
      <c r="J9"/>
      <c r="K9"/>
      <c r="N9" s="8"/>
    </row>
    <row r="10" spans="1:14" x14ac:dyDescent="0.25">
      <c r="A10" t="s">
        <v>13</v>
      </c>
      <c r="B10" s="1">
        <v>9</v>
      </c>
      <c r="C10" s="1" t="s">
        <v>14</v>
      </c>
      <c r="D10" s="5" t="s">
        <v>15</v>
      </c>
      <c r="E10" s="5" t="s">
        <v>16</v>
      </c>
      <c r="F10" s="6" t="s">
        <v>17</v>
      </c>
      <c r="G10" s="6" t="s">
        <v>24</v>
      </c>
      <c r="H10" s="7">
        <v>251538.5</v>
      </c>
      <c r="I10" s="7">
        <v>503.25817294225919</v>
      </c>
      <c r="J10"/>
      <c r="K10"/>
      <c r="N10" s="8"/>
    </row>
    <row r="11" spans="1:14" x14ac:dyDescent="0.25">
      <c r="A11" t="s">
        <v>13</v>
      </c>
      <c r="B11" s="1">
        <v>10</v>
      </c>
      <c r="C11" s="1" t="s">
        <v>14</v>
      </c>
      <c r="D11" s="9" t="s">
        <v>19</v>
      </c>
      <c r="E11" s="10" t="s">
        <v>20</v>
      </c>
      <c r="F11" s="10" t="s">
        <v>17</v>
      </c>
      <c r="G11" s="10" t="s">
        <v>24</v>
      </c>
      <c r="H11" s="11">
        <v>31360.75</v>
      </c>
      <c r="I11" s="7">
        <v>62.744087871633788</v>
      </c>
      <c r="J11"/>
      <c r="K11"/>
      <c r="N11" s="8"/>
    </row>
    <row r="12" spans="1:14" x14ac:dyDescent="0.25">
      <c r="A12" t="s">
        <v>13</v>
      </c>
      <c r="B12" s="1">
        <v>11</v>
      </c>
      <c r="C12" s="1" t="s">
        <v>14</v>
      </c>
      <c r="D12" s="5" t="s">
        <v>15</v>
      </c>
      <c r="E12" s="5" t="s">
        <v>16</v>
      </c>
      <c r="F12" s="6" t="s">
        <v>17</v>
      </c>
      <c r="G12" s="6" t="s">
        <v>25</v>
      </c>
      <c r="H12" s="12">
        <v>265957.7</v>
      </c>
      <c r="I12" s="7">
        <v>532.10695850506181</v>
      </c>
      <c r="J12"/>
      <c r="K12"/>
      <c r="N12" s="8"/>
    </row>
    <row r="13" spans="1:14" x14ac:dyDescent="0.25">
      <c r="A13" t="s">
        <v>13</v>
      </c>
      <c r="B13" s="1">
        <v>12</v>
      </c>
      <c r="C13" s="1" t="s">
        <v>14</v>
      </c>
      <c r="D13" s="9" t="s">
        <v>19</v>
      </c>
      <c r="E13" s="10" t="s">
        <v>20</v>
      </c>
      <c r="F13" s="10" t="s">
        <v>17</v>
      </c>
      <c r="G13" s="10" t="s">
        <v>25</v>
      </c>
      <c r="H13" s="12">
        <v>33180</v>
      </c>
      <c r="I13" s="7">
        <v>66.383898203353212</v>
      </c>
      <c r="J13"/>
      <c r="K13"/>
      <c r="N13" s="8"/>
    </row>
    <row r="14" spans="1:14" x14ac:dyDescent="0.25">
      <c r="A14" t="s">
        <v>13</v>
      </c>
      <c r="B14" s="1">
        <v>13</v>
      </c>
      <c r="C14" s="1" t="s">
        <v>14</v>
      </c>
      <c r="D14" s="5" t="s">
        <v>15</v>
      </c>
      <c r="E14" s="5" t="s">
        <v>16</v>
      </c>
      <c r="F14" s="6" t="s">
        <v>17</v>
      </c>
      <c r="G14" s="6" t="s">
        <v>26</v>
      </c>
      <c r="H14" s="7">
        <v>70195.900000000009</v>
      </c>
      <c r="I14" s="7">
        <v>140.44235924932977</v>
      </c>
      <c r="J14"/>
      <c r="K14"/>
      <c r="N14" s="8"/>
    </row>
    <row r="15" spans="1:14" x14ac:dyDescent="0.25">
      <c r="A15" t="s">
        <v>13</v>
      </c>
      <c r="B15" s="1">
        <v>14</v>
      </c>
      <c r="C15" s="1" t="s">
        <v>14</v>
      </c>
      <c r="D15" s="9" t="s">
        <v>19</v>
      </c>
      <c r="E15" s="10" t="s">
        <v>20</v>
      </c>
      <c r="F15" s="10" t="s">
        <v>17</v>
      </c>
      <c r="G15" s="10" t="s">
        <v>26</v>
      </c>
      <c r="H15" s="11">
        <v>8687.9</v>
      </c>
      <c r="I15" s="7">
        <v>17.382057540714658</v>
      </c>
      <c r="J15"/>
      <c r="K15"/>
      <c r="N15" s="8"/>
    </row>
    <row r="16" spans="1:14" x14ac:dyDescent="0.25">
      <c r="A16" t="s">
        <v>13</v>
      </c>
      <c r="B16" s="1">
        <v>15</v>
      </c>
      <c r="C16" s="1" t="s">
        <v>14</v>
      </c>
      <c r="D16" s="5" t="s">
        <v>27</v>
      </c>
      <c r="E16" s="5" t="s">
        <v>28</v>
      </c>
      <c r="F16" s="6" t="s">
        <v>17</v>
      </c>
      <c r="G16" s="6" t="s">
        <v>29</v>
      </c>
      <c r="H16" s="12">
        <v>700867.85</v>
      </c>
      <c r="I16" s="7">
        <v>1402.2405065823696</v>
      </c>
      <c r="J16"/>
      <c r="K16"/>
      <c r="N16" s="8"/>
    </row>
    <row r="17" spans="1:14" x14ac:dyDescent="0.25">
      <c r="A17" t="s">
        <v>13</v>
      </c>
      <c r="B17" s="1">
        <v>16</v>
      </c>
      <c r="C17" s="1" t="s">
        <v>14</v>
      </c>
      <c r="D17" s="9" t="s">
        <v>19</v>
      </c>
      <c r="E17" s="10" t="s">
        <v>20</v>
      </c>
      <c r="F17" s="10" t="s">
        <v>17</v>
      </c>
      <c r="G17" s="10" t="s">
        <v>29</v>
      </c>
      <c r="H17" s="12">
        <v>88113.35</v>
      </c>
      <c r="I17" s="7">
        <v>176.29016445920533</v>
      </c>
      <c r="J17"/>
      <c r="K17"/>
      <c r="N17" s="8"/>
    </row>
    <row r="18" spans="1:14" x14ac:dyDescent="0.25">
      <c r="A18" t="s">
        <v>13</v>
      </c>
      <c r="B18" s="1">
        <v>17</v>
      </c>
      <c r="C18" s="1" t="s">
        <v>14</v>
      </c>
      <c r="D18" s="5" t="s">
        <v>15</v>
      </c>
      <c r="E18" s="5" t="s">
        <v>16</v>
      </c>
      <c r="F18" s="6" t="s">
        <v>17</v>
      </c>
      <c r="G18" s="6" t="s">
        <v>30</v>
      </c>
      <c r="H18" s="7">
        <v>38872.550000000003</v>
      </c>
      <c r="I18" s="7">
        <v>77.773098315393554</v>
      </c>
      <c r="J18"/>
      <c r="K18"/>
      <c r="N18" s="8"/>
    </row>
    <row r="19" spans="1:14" x14ac:dyDescent="0.25">
      <c r="A19" t="s">
        <v>13</v>
      </c>
      <c r="B19" s="1">
        <v>18</v>
      </c>
      <c r="C19" s="1" t="s">
        <v>14</v>
      </c>
      <c r="D19" s="9" t="s">
        <v>19</v>
      </c>
      <c r="E19" s="10" t="s">
        <v>20</v>
      </c>
      <c r="F19" s="10" t="s">
        <v>17</v>
      </c>
      <c r="G19" s="10" t="s">
        <v>30</v>
      </c>
      <c r="H19" s="11">
        <v>4801.8500000000004</v>
      </c>
      <c r="I19" s="7">
        <v>9.6071585770877519</v>
      </c>
      <c r="J19"/>
      <c r="K19"/>
      <c r="N19" s="8"/>
    </row>
    <row r="20" spans="1:14" x14ac:dyDescent="0.25">
      <c r="A20" t="s">
        <v>13</v>
      </c>
      <c r="B20" s="1">
        <v>19</v>
      </c>
      <c r="C20" s="1" t="s">
        <v>14</v>
      </c>
      <c r="D20" s="5" t="s">
        <v>15</v>
      </c>
      <c r="E20" s="5" t="s">
        <v>16</v>
      </c>
      <c r="F20" s="6" t="s">
        <v>17</v>
      </c>
      <c r="G20" s="6" t="s">
        <v>31</v>
      </c>
      <c r="H20" s="12">
        <v>18023.55</v>
      </c>
      <c r="I20" s="7">
        <v>36.06008162938658</v>
      </c>
      <c r="J20"/>
      <c r="K20"/>
      <c r="N20" s="8"/>
    </row>
    <row r="21" spans="1:14" x14ac:dyDescent="0.25">
      <c r="A21" t="s">
        <v>13</v>
      </c>
      <c r="B21" s="1">
        <v>20</v>
      </c>
      <c r="C21" s="1" t="s">
        <v>14</v>
      </c>
      <c r="D21" s="9" t="s">
        <v>15</v>
      </c>
      <c r="E21" s="10" t="s">
        <v>16</v>
      </c>
      <c r="F21" s="10" t="s">
        <v>17</v>
      </c>
      <c r="G21" s="10" t="s">
        <v>32</v>
      </c>
      <c r="H21" s="12">
        <v>43361.55</v>
      </c>
      <c r="I21" s="7">
        <v>86.754331559361376</v>
      </c>
      <c r="J21"/>
      <c r="K21"/>
      <c r="N21" s="8"/>
    </row>
    <row r="22" spans="1:14" x14ac:dyDescent="0.25">
      <c r="A22" t="s">
        <v>13</v>
      </c>
      <c r="B22" s="1">
        <v>21</v>
      </c>
      <c r="C22" s="1" t="s">
        <v>14</v>
      </c>
      <c r="D22" s="5" t="s">
        <v>19</v>
      </c>
      <c r="E22" s="5" t="s">
        <v>20</v>
      </c>
      <c r="F22" s="6" t="s">
        <v>17</v>
      </c>
      <c r="G22" s="6" t="s">
        <v>32</v>
      </c>
      <c r="H22" s="7">
        <v>5358.75</v>
      </c>
      <c r="I22" s="7">
        <v>10.721359689488215</v>
      </c>
      <c r="J22"/>
      <c r="K22"/>
      <c r="N22" s="8"/>
    </row>
    <row r="23" spans="1:14" x14ac:dyDescent="0.25">
      <c r="A23" t="s">
        <v>13</v>
      </c>
      <c r="B23" s="1">
        <v>22</v>
      </c>
      <c r="C23" s="1" t="s">
        <v>14</v>
      </c>
      <c r="D23" s="9" t="s">
        <v>15</v>
      </c>
      <c r="E23" s="10" t="s">
        <v>16</v>
      </c>
      <c r="F23" s="10" t="s">
        <v>17</v>
      </c>
      <c r="G23" s="10" t="s">
        <v>33</v>
      </c>
      <c r="H23" s="11">
        <v>213381.44999999998</v>
      </c>
      <c r="I23" s="7">
        <v>426.91658997239006</v>
      </c>
      <c r="J23"/>
      <c r="K23"/>
      <c r="N23" s="8"/>
    </row>
    <row r="24" spans="1:14" x14ac:dyDescent="0.25">
      <c r="A24" t="s">
        <v>13</v>
      </c>
      <c r="B24" s="1">
        <v>23</v>
      </c>
      <c r="C24" s="1" t="s">
        <v>14</v>
      </c>
      <c r="D24" s="5" t="s">
        <v>19</v>
      </c>
      <c r="E24" s="5" t="s">
        <v>20</v>
      </c>
      <c r="F24" s="6" t="s">
        <v>17</v>
      </c>
      <c r="G24" s="6" t="s">
        <v>33</v>
      </c>
      <c r="H24" s="12">
        <v>26546.45</v>
      </c>
      <c r="I24" s="7">
        <v>53.112020327317836</v>
      </c>
      <c r="J24"/>
      <c r="K24"/>
      <c r="N24" s="8"/>
    </row>
    <row r="25" spans="1:14" x14ac:dyDescent="0.25">
      <c r="A25" t="s">
        <v>13</v>
      </c>
      <c r="B25" s="1">
        <v>24</v>
      </c>
      <c r="C25" s="1" t="s">
        <v>14</v>
      </c>
      <c r="D25" s="9" t="s">
        <v>15</v>
      </c>
      <c r="E25" s="10" t="s">
        <v>16</v>
      </c>
      <c r="F25" s="10" t="s">
        <v>17</v>
      </c>
      <c r="G25" s="10" t="s">
        <v>34</v>
      </c>
      <c r="H25" s="12">
        <v>81568.100000000006</v>
      </c>
      <c r="I25" s="7">
        <v>163.19495018206555</v>
      </c>
      <c r="J25"/>
      <c r="K25"/>
      <c r="N25" s="8"/>
    </row>
    <row r="26" spans="1:14" x14ac:dyDescent="0.25">
      <c r="A26" t="s">
        <v>13</v>
      </c>
      <c r="B26" s="1">
        <v>25</v>
      </c>
      <c r="C26" s="1" t="s">
        <v>14</v>
      </c>
      <c r="D26" s="5" t="s">
        <v>19</v>
      </c>
      <c r="E26" s="5" t="s">
        <v>20</v>
      </c>
      <c r="F26" s="6" t="s">
        <v>17</v>
      </c>
      <c r="G26" s="6" t="s">
        <v>34</v>
      </c>
      <c r="H26" s="7">
        <v>10098.75</v>
      </c>
      <c r="I26" s="7">
        <v>20.204773718538675</v>
      </c>
      <c r="J26"/>
      <c r="K26"/>
      <c r="N26" s="8"/>
    </row>
    <row r="27" spans="1:14" x14ac:dyDescent="0.25">
      <c r="A27" t="s">
        <v>13</v>
      </c>
      <c r="B27" s="1">
        <v>26</v>
      </c>
      <c r="C27" s="1" t="s">
        <v>14</v>
      </c>
      <c r="D27" s="9" t="s">
        <v>15</v>
      </c>
      <c r="E27" s="10" t="s">
        <v>16</v>
      </c>
      <c r="F27" s="10" t="s">
        <v>17</v>
      </c>
      <c r="G27" s="10" t="s">
        <v>35</v>
      </c>
      <c r="H27" s="11">
        <v>838018.6</v>
      </c>
      <c r="I27" s="7">
        <v>1676.6407906846464</v>
      </c>
      <c r="J27"/>
      <c r="K27"/>
      <c r="N27" s="8"/>
    </row>
    <row r="28" spans="1:14" x14ac:dyDescent="0.25">
      <c r="A28" t="s">
        <v>13</v>
      </c>
      <c r="B28" s="1">
        <v>27</v>
      </c>
      <c r="C28" s="1" t="s">
        <v>14</v>
      </c>
      <c r="D28" s="5" t="s">
        <v>19</v>
      </c>
      <c r="E28" s="5" t="s">
        <v>20</v>
      </c>
      <c r="F28" s="6" t="s">
        <v>17</v>
      </c>
      <c r="G28" s="6" t="s">
        <v>35</v>
      </c>
      <c r="H28" s="12">
        <v>105356.85</v>
      </c>
      <c r="I28" s="7">
        <v>210.78958425033014</v>
      </c>
      <c r="J28"/>
      <c r="K28"/>
      <c r="N28" s="8"/>
    </row>
    <row r="29" spans="1:14" x14ac:dyDescent="0.25">
      <c r="A29" t="s">
        <v>13</v>
      </c>
      <c r="B29" s="1">
        <v>28</v>
      </c>
      <c r="C29" s="1" t="s">
        <v>14</v>
      </c>
      <c r="D29" s="9" t="s">
        <v>36</v>
      </c>
      <c r="E29" s="10" t="s">
        <v>28</v>
      </c>
      <c r="F29" s="10" t="s">
        <v>17</v>
      </c>
      <c r="G29" s="10" t="s">
        <v>37</v>
      </c>
      <c r="H29" s="12">
        <v>42739.7</v>
      </c>
      <c r="I29" s="7">
        <v>85.510183666119801</v>
      </c>
      <c r="J29"/>
      <c r="K29"/>
      <c r="N29" s="8"/>
    </row>
    <row r="30" spans="1:14" x14ac:dyDescent="0.25">
      <c r="A30" t="s">
        <v>13</v>
      </c>
      <c r="B30" s="1">
        <v>29</v>
      </c>
      <c r="C30" s="1" t="s">
        <v>14</v>
      </c>
      <c r="D30" s="5" t="s">
        <v>19</v>
      </c>
      <c r="E30" s="5" t="s">
        <v>20</v>
      </c>
      <c r="F30" s="6" t="s">
        <v>17</v>
      </c>
      <c r="G30" s="6" t="s">
        <v>37</v>
      </c>
      <c r="H30" s="7">
        <v>5309.25</v>
      </c>
      <c r="I30" s="7">
        <v>10.622324036653195</v>
      </c>
      <c r="J30"/>
      <c r="K30"/>
      <c r="N30" s="8"/>
    </row>
    <row r="31" spans="1:14" x14ac:dyDescent="0.25">
      <c r="A31" t="s">
        <v>13</v>
      </c>
      <c r="B31" s="1">
        <v>30</v>
      </c>
      <c r="C31" s="1" t="s">
        <v>14</v>
      </c>
      <c r="D31" s="9" t="s">
        <v>15</v>
      </c>
      <c r="E31" s="10" t="s">
        <v>16</v>
      </c>
      <c r="F31" s="10" t="s">
        <v>17</v>
      </c>
      <c r="G31" s="10" t="s">
        <v>38</v>
      </c>
      <c r="H31" s="11">
        <v>141022.70000000001</v>
      </c>
      <c r="I31" s="7">
        <v>282.14697291024771</v>
      </c>
      <c r="J31"/>
      <c r="K31"/>
      <c r="N31" s="8"/>
    </row>
    <row r="32" spans="1:14" x14ac:dyDescent="0.25">
      <c r="A32" t="s">
        <v>13</v>
      </c>
      <c r="B32" s="1">
        <v>31</v>
      </c>
      <c r="C32" s="1" t="s">
        <v>14</v>
      </c>
      <c r="D32" s="5" t="s">
        <v>19</v>
      </c>
      <c r="E32" s="5" t="s">
        <v>20</v>
      </c>
      <c r="F32" s="6" t="s">
        <v>17</v>
      </c>
      <c r="G32" s="6" t="s">
        <v>38</v>
      </c>
      <c r="H32" s="12">
        <v>17474.900000000001</v>
      </c>
      <c r="I32" s="7">
        <v>34.962386459125291</v>
      </c>
      <c r="J32"/>
      <c r="K32"/>
      <c r="N32" s="8"/>
    </row>
    <row r="33" spans="1:14" x14ac:dyDescent="0.25">
      <c r="A33" t="s">
        <v>13</v>
      </c>
      <c r="B33" s="1">
        <v>32</v>
      </c>
      <c r="C33" s="1" t="s">
        <v>14</v>
      </c>
      <c r="D33" s="9" t="s">
        <v>15</v>
      </c>
      <c r="E33" s="10" t="s">
        <v>16</v>
      </c>
      <c r="F33" s="10" t="s">
        <v>17</v>
      </c>
      <c r="G33" s="10" t="s">
        <v>39</v>
      </c>
      <c r="H33" s="12">
        <v>258895.25</v>
      </c>
      <c r="I33" s="7">
        <v>517.97697170981553</v>
      </c>
      <c r="J33"/>
      <c r="K33"/>
      <c r="N33" s="8"/>
    </row>
    <row r="34" spans="1:14" x14ac:dyDescent="0.25">
      <c r="A34" t="s">
        <v>13</v>
      </c>
      <c r="B34" s="1">
        <v>33</v>
      </c>
      <c r="C34" s="1" t="s">
        <v>14</v>
      </c>
      <c r="D34" s="5" t="s">
        <v>19</v>
      </c>
      <c r="E34" s="5" t="s">
        <v>20</v>
      </c>
      <c r="F34" s="6" t="s">
        <v>17</v>
      </c>
      <c r="G34" s="6" t="s">
        <v>39</v>
      </c>
      <c r="H34" s="7">
        <v>32288.95</v>
      </c>
      <c r="I34" s="7">
        <v>64.601156416309877</v>
      </c>
      <c r="J34"/>
      <c r="K34"/>
      <c r="N34" s="8"/>
    </row>
    <row r="35" spans="1:14" x14ac:dyDescent="0.25">
      <c r="A35" t="s">
        <v>13</v>
      </c>
      <c r="B35" s="1">
        <v>34</v>
      </c>
      <c r="C35" s="1" t="s">
        <v>14</v>
      </c>
      <c r="D35" s="9" t="s">
        <v>15</v>
      </c>
      <c r="E35" s="10" t="s">
        <v>16</v>
      </c>
      <c r="F35" s="10" t="s">
        <v>17</v>
      </c>
      <c r="G35" s="10" t="s">
        <v>40</v>
      </c>
      <c r="H35" s="11">
        <v>55930.85</v>
      </c>
      <c r="I35" s="7">
        <v>111.90198471449722</v>
      </c>
      <c r="J35"/>
      <c r="K35"/>
      <c r="N35" s="8"/>
    </row>
    <row r="36" spans="1:14" x14ac:dyDescent="0.25">
      <c r="A36" t="s">
        <v>13</v>
      </c>
      <c r="B36" s="1">
        <v>35</v>
      </c>
      <c r="C36" s="1" t="s">
        <v>14</v>
      </c>
      <c r="D36" s="5" t="s">
        <v>19</v>
      </c>
      <c r="E36" s="5" t="s">
        <v>20</v>
      </c>
      <c r="F36" s="6" t="s">
        <v>17</v>
      </c>
      <c r="G36" s="6" t="s">
        <v>40</v>
      </c>
      <c r="H36" s="12">
        <v>6918.1</v>
      </c>
      <c r="I36" s="7">
        <v>13.841182825817295</v>
      </c>
      <c r="J36"/>
      <c r="K36"/>
      <c r="N36" s="8"/>
    </row>
    <row r="37" spans="1:14" x14ac:dyDescent="0.25">
      <c r="A37" t="s">
        <v>13</v>
      </c>
      <c r="B37" s="1">
        <v>36</v>
      </c>
      <c r="C37" s="1" t="s">
        <v>14</v>
      </c>
      <c r="D37" s="9" t="s">
        <v>15</v>
      </c>
      <c r="E37" s="10" t="s">
        <v>16</v>
      </c>
      <c r="F37" s="10" t="s">
        <v>17</v>
      </c>
      <c r="G37" s="10" t="s">
        <v>41</v>
      </c>
      <c r="H37" s="12">
        <v>273706.8</v>
      </c>
      <c r="I37" s="7">
        <v>547.61073986635188</v>
      </c>
      <c r="J37"/>
      <c r="K37"/>
      <c r="N37" s="8"/>
    </row>
    <row r="38" spans="1:14" x14ac:dyDescent="0.25">
      <c r="A38" t="s">
        <v>13</v>
      </c>
      <c r="B38" s="1">
        <v>37</v>
      </c>
      <c r="C38" s="1" t="s">
        <v>14</v>
      </c>
      <c r="D38" s="5" t="s">
        <v>19</v>
      </c>
      <c r="E38" s="5" t="s">
        <v>20</v>
      </c>
      <c r="F38" s="6" t="s">
        <v>17</v>
      </c>
      <c r="G38" s="6" t="s">
        <v>41</v>
      </c>
      <c r="H38" s="7">
        <v>34157.699999999997</v>
      </c>
      <c r="I38" s="7">
        <v>68.340002400864307</v>
      </c>
      <c r="J38"/>
      <c r="K38"/>
      <c r="N38" s="8"/>
    </row>
    <row r="39" spans="1:14" x14ac:dyDescent="0.25">
      <c r="A39" t="s">
        <v>13</v>
      </c>
      <c r="B39" s="1">
        <v>38</v>
      </c>
      <c r="C39" s="1" t="s">
        <v>14</v>
      </c>
      <c r="D39" s="9" t="s">
        <v>15</v>
      </c>
      <c r="E39" s="10" t="s">
        <v>16</v>
      </c>
      <c r="F39" s="10" t="s">
        <v>17</v>
      </c>
      <c r="G39" s="10" t="s">
        <v>42</v>
      </c>
      <c r="H39" s="11">
        <v>37276.450000000004</v>
      </c>
      <c r="I39" s="7">
        <v>74.579748709535437</v>
      </c>
      <c r="J39"/>
      <c r="K39"/>
      <c r="N39" s="8"/>
    </row>
    <row r="40" spans="1:14" x14ac:dyDescent="0.25">
      <c r="A40" t="s">
        <v>13</v>
      </c>
      <c r="B40" s="1">
        <v>39</v>
      </c>
      <c r="C40" s="1" t="s">
        <v>14</v>
      </c>
      <c r="D40" s="5" t="s">
        <v>19</v>
      </c>
      <c r="E40" s="5" t="s">
        <v>20</v>
      </c>
      <c r="F40" s="6" t="s">
        <v>17</v>
      </c>
      <c r="G40" s="6" t="s">
        <v>42</v>
      </c>
      <c r="H40" s="12">
        <v>4603.8500000000004</v>
      </c>
      <c r="I40" s="7">
        <v>9.21101596574767</v>
      </c>
      <c r="J40"/>
      <c r="K40"/>
      <c r="N40" s="8"/>
    </row>
    <row r="41" spans="1:14" x14ac:dyDescent="0.25">
      <c r="A41" t="s">
        <v>13</v>
      </c>
      <c r="B41" s="1">
        <v>40</v>
      </c>
      <c r="C41" s="1" t="s">
        <v>14</v>
      </c>
      <c r="D41" s="9" t="s">
        <v>15</v>
      </c>
      <c r="E41" s="10" t="s">
        <v>16</v>
      </c>
      <c r="F41" s="10" t="s">
        <v>17</v>
      </c>
      <c r="G41" s="10" t="s">
        <v>43</v>
      </c>
      <c r="H41" s="12">
        <v>205730.44999999998</v>
      </c>
      <c r="I41" s="7">
        <v>411.60907926853662</v>
      </c>
      <c r="J41"/>
      <c r="K41"/>
      <c r="N41" s="8"/>
    </row>
    <row r="42" spans="1:14" x14ac:dyDescent="0.25">
      <c r="A42" t="s">
        <v>13</v>
      </c>
      <c r="B42" s="1">
        <v>41</v>
      </c>
      <c r="C42" s="1" t="s">
        <v>14</v>
      </c>
      <c r="D42" s="5" t="s">
        <v>19</v>
      </c>
      <c r="E42" s="5" t="s">
        <v>20</v>
      </c>
      <c r="F42" s="6" t="s">
        <v>17</v>
      </c>
      <c r="G42" s="6" t="s">
        <v>43</v>
      </c>
      <c r="H42" s="7">
        <v>25581.1</v>
      </c>
      <c r="I42" s="7">
        <v>51.180625025009</v>
      </c>
      <c r="J42"/>
      <c r="K42"/>
      <c r="N42" s="8"/>
    </row>
    <row r="43" spans="1:14" x14ac:dyDescent="0.25">
      <c r="A43" t="s">
        <v>13</v>
      </c>
      <c r="B43" s="1">
        <v>42</v>
      </c>
      <c r="C43" s="1" t="s">
        <v>14</v>
      </c>
      <c r="D43" s="9" t="s">
        <v>15</v>
      </c>
      <c r="E43" s="10" t="s">
        <v>16</v>
      </c>
      <c r="F43" s="10" t="s">
        <v>17</v>
      </c>
      <c r="G43" s="10" t="s">
        <v>44</v>
      </c>
      <c r="H43" s="11">
        <v>68899.099999999991</v>
      </c>
      <c r="I43" s="7">
        <v>137.84782521707814</v>
      </c>
      <c r="J43"/>
      <c r="K43"/>
      <c r="N43" s="8"/>
    </row>
    <row r="44" spans="1:14" x14ac:dyDescent="0.25">
      <c r="A44" t="s">
        <v>13</v>
      </c>
      <c r="B44" s="1">
        <v>43</v>
      </c>
      <c r="C44" s="1" t="s">
        <v>14</v>
      </c>
      <c r="D44" s="5" t="s">
        <v>19</v>
      </c>
      <c r="E44" s="5" t="s">
        <v>20</v>
      </c>
      <c r="F44" s="6" t="s">
        <v>17</v>
      </c>
      <c r="G44" s="6" t="s">
        <v>44</v>
      </c>
      <c r="H44" s="12">
        <v>8527.0499999999993</v>
      </c>
      <c r="I44" s="7">
        <v>17.06024168700732</v>
      </c>
      <c r="J44"/>
      <c r="K44"/>
      <c r="N44" s="8"/>
    </row>
    <row r="45" spans="1:14" x14ac:dyDescent="0.25">
      <c r="A45" t="s">
        <v>13</v>
      </c>
      <c r="B45" s="1">
        <v>44</v>
      </c>
      <c r="C45" s="1" t="s">
        <v>14</v>
      </c>
      <c r="D45" s="9" t="s">
        <v>15</v>
      </c>
      <c r="E45" s="10" t="s">
        <v>16</v>
      </c>
      <c r="F45" s="10" t="s">
        <v>17</v>
      </c>
      <c r="G45" s="10" t="s">
        <v>45</v>
      </c>
      <c r="H45" s="12">
        <v>115584.9</v>
      </c>
      <c r="I45" s="7">
        <v>231.25305109839542</v>
      </c>
      <c r="J45"/>
      <c r="K45"/>
      <c r="N45" s="8"/>
    </row>
    <row r="46" spans="1:14" x14ac:dyDescent="0.25">
      <c r="A46" t="s">
        <v>13</v>
      </c>
      <c r="B46" s="1">
        <v>45</v>
      </c>
      <c r="C46" s="1" t="s">
        <v>14</v>
      </c>
      <c r="D46" s="5" t="s">
        <v>19</v>
      </c>
      <c r="E46" s="5" t="s">
        <v>20</v>
      </c>
      <c r="F46" s="6" t="s">
        <v>17</v>
      </c>
      <c r="G46" s="6" t="s">
        <v>45</v>
      </c>
      <c r="H46" s="7">
        <v>14319</v>
      </c>
      <c r="I46" s="7">
        <v>28.648313392821414</v>
      </c>
      <c r="J46"/>
      <c r="K46"/>
      <c r="N46" s="8"/>
    </row>
    <row r="47" spans="1:14" x14ac:dyDescent="0.25">
      <c r="A47" t="s">
        <v>13</v>
      </c>
      <c r="B47" s="1">
        <v>46</v>
      </c>
      <c r="C47" s="1" t="s">
        <v>14</v>
      </c>
      <c r="D47" s="9" t="s">
        <v>15</v>
      </c>
      <c r="E47" s="10" t="s">
        <v>16</v>
      </c>
      <c r="F47" s="10" t="s">
        <v>17</v>
      </c>
      <c r="G47" s="10" t="s">
        <v>46</v>
      </c>
      <c r="H47" s="11">
        <v>600080.70000000007</v>
      </c>
      <c r="I47" s="7">
        <v>1200.5936137009326</v>
      </c>
      <c r="J47"/>
      <c r="K47"/>
      <c r="N47" s="8"/>
    </row>
    <row r="48" spans="1:14" x14ac:dyDescent="0.25">
      <c r="A48" t="s">
        <v>13</v>
      </c>
      <c r="B48" s="1">
        <v>47</v>
      </c>
      <c r="C48" s="1" t="s">
        <v>14</v>
      </c>
      <c r="D48" s="5" t="s">
        <v>19</v>
      </c>
      <c r="E48" s="5" t="s">
        <v>20</v>
      </c>
      <c r="F48" s="6" t="s">
        <v>17</v>
      </c>
      <c r="G48" s="6" t="s">
        <v>46</v>
      </c>
      <c r="H48" s="12">
        <v>75306.7</v>
      </c>
      <c r="I48" s="7">
        <v>150.6676403505262</v>
      </c>
      <c r="J48"/>
      <c r="K48"/>
      <c r="N48" s="8"/>
    </row>
    <row r="49" spans="1:14" x14ac:dyDescent="0.25">
      <c r="A49" t="s">
        <v>13</v>
      </c>
      <c r="B49" s="1">
        <v>48</v>
      </c>
      <c r="C49" s="1" t="s">
        <v>14</v>
      </c>
      <c r="D49" s="9" t="s">
        <v>15</v>
      </c>
      <c r="E49" s="10" t="s">
        <v>16</v>
      </c>
      <c r="F49" s="10" t="s">
        <v>17</v>
      </c>
      <c r="G49" s="10" t="s">
        <v>47</v>
      </c>
      <c r="H49" s="11">
        <v>105110.55</v>
      </c>
      <c r="I49" s="7">
        <v>210.29680685046617</v>
      </c>
      <c r="J49"/>
      <c r="K49"/>
      <c r="N49" s="8"/>
    </row>
    <row r="50" spans="1:14" x14ac:dyDescent="0.25">
      <c r="A50" t="s">
        <v>13</v>
      </c>
      <c r="B50" s="1">
        <v>49</v>
      </c>
      <c r="C50" s="1" t="s">
        <v>14</v>
      </c>
      <c r="D50" s="5" t="s">
        <v>19</v>
      </c>
      <c r="E50" s="5" t="s">
        <v>20</v>
      </c>
      <c r="F50" s="6" t="s">
        <v>17</v>
      </c>
      <c r="G50" s="6" t="s">
        <v>47</v>
      </c>
      <c r="H50" s="7">
        <v>13019.55</v>
      </c>
      <c r="I50" s="7">
        <v>26.048477451882675</v>
      </c>
      <c r="J50"/>
      <c r="K50"/>
      <c r="N50" s="8"/>
    </row>
    <row r="51" spans="1:14" x14ac:dyDescent="0.25">
      <c r="A51" t="s">
        <v>13</v>
      </c>
      <c r="B51" s="1">
        <v>50</v>
      </c>
      <c r="C51" s="1" t="s">
        <v>14</v>
      </c>
      <c r="D51" s="9" t="s">
        <v>15</v>
      </c>
      <c r="E51" s="10" t="s">
        <v>16</v>
      </c>
      <c r="F51" s="10" t="s">
        <v>17</v>
      </c>
      <c r="G51" s="10" t="s">
        <v>48</v>
      </c>
      <c r="H51" s="12">
        <v>13257.6</v>
      </c>
      <c r="I51" s="7">
        <v>26.52474890960746</v>
      </c>
      <c r="J51"/>
      <c r="K51"/>
      <c r="N51" s="8"/>
    </row>
    <row r="52" spans="1:14" x14ac:dyDescent="0.25">
      <c r="A52" t="s">
        <v>13</v>
      </c>
      <c r="B52" s="1">
        <v>51</v>
      </c>
      <c r="C52" s="1" t="s">
        <v>14</v>
      </c>
      <c r="D52" s="5" t="s">
        <v>15</v>
      </c>
      <c r="E52" s="5" t="s">
        <v>16</v>
      </c>
      <c r="F52" s="6" t="s">
        <v>17</v>
      </c>
      <c r="G52" s="6" t="s">
        <v>49</v>
      </c>
      <c r="H52" s="12">
        <v>15330.1</v>
      </c>
      <c r="I52" s="7">
        <v>30.671241646992918</v>
      </c>
      <c r="J52"/>
      <c r="K52"/>
      <c r="N52" s="8"/>
    </row>
    <row r="53" spans="1:14" x14ac:dyDescent="0.25">
      <c r="A53" t="s">
        <v>13</v>
      </c>
      <c r="B53" s="1">
        <v>52</v>
      </c>
      <c r="C53" s="1" t="s">
        <v>14</v>
      </c>
      <c r="D53" s="9" t="s">
        <v>15</v>
      </c>
      <c r="E53" s="10" t="s">
        <v>16</v>
      </c>
      <c r="F53" s="10" t="s">
        <v>17</v>
      </c>
      <c r="G53" s="10" t="s">
        <v>50</v>
      </c>
      <c r="H53" s="11">
        <v>32587.9</v>
      </c>
      <c r="I53" s="7">
        <v>65.199271737825626</v>
      </c>
      <c r="J53"/>
      <c r="K53"/>
      <c r="N53" s="8"/>
    </row>
    <row r="54" spans="1:14" x14ac:dyDescent="0.25">
      <c r="A54" t="s">
        <v>13</v>
      </c>
      <c r="B54" s="1">
        <v>53</v>
      </c>
      <c r="C54" s="1" t="s">
        <v>14</v>
      </c>
      <c r="D54" s="5" t="s">
        <v>19</v>
      </c>
      <c r="E54" s="5" t="s">
        <v>20</v>
      </c>
      <c r="F54" s="6" t="s">
        <v>17</v>
      </c>
      <c r="G54" s="6" t="s">
        <v>50</v>
      </c>
      <c r="H54" s="7">
        <v>4022.15</v>
      </c>
      <c r="I54" s="7">
        <v>8.0471969909167296</v>
      </c>
      <c r="J54"/>
      <c r="K54"/>
      <c r="N54" s="8"/>
    </row>
    <row r="55" spans="1:14" x14ac:dyDescent="0.25">
      <c r="A55" t="s">
        <v>13</v>
      </c>
      <c r="B55" s="1">
        <v>54</v>
      </c>
      <c r="C55" s="1" t="s">
        <v>14</v>
      </c>
      <c r="D55" s="9" t="s">
        <v>15</v>
      </c>
      <c r="E55" s="10" t="s">
        <v>16</v>
      </c>
      <c r="F55" s="10" t="s">
        <v>17</v>
      </c>
      <c r="G55" s="10" t="s">
        <v>51</v>
      </c>
      <c r="H55" s="12">
        <v>95833.25</v>
      </c>
      <c r="I55" s="7">
        <v>191.73552478892401</v>
      </c>
      <c r="J55"/>
      <c r="K55"/>
      <c r="N55" s="8"/>
    </row>
    <row r="56" spans="1:14" x14ac:dyDescent="0.25">
      <c r="A56" t="s">
        <v>13</v>
      </c>
      <c r="B56" s="1">
        <v>55</v>
      </c>
      <c r="C56" s="1" t="s">
        <v>14</v>
      </c>
      <c r="D56" s="5" t="s">
        <v>19</v>
      </c>
      <c r="E56" s="5" t="s">
        <v>20</v>
      </c>
      <c r="F56" s="6" t="s">
        <v>17</v>
      </c>
      <c r="G56" s="6" t="s">
        <v>51</v>
      </c>
      <c r="H56" s="12">
        <v>11868.55</v>
      </c>
      <c r="I56" s="7">
        <v>23.745648433436035</v>
      </c>
      <c r="J56"/>
      <c r="K56"/>
      <c r="N56" s="8"/>
    </row>
    <row r="57" spans="1:14" x14ac:dyDescent="0.25">
      <c r="A57" t="s">
        <v>13</v>
      </c>
      <c r="B57" s="1">
        <v>56</v>
      </c>
      <c r="C57" s="1" t="s">
        <v>14</v>
      </c>
      <c r="D57" s="9" t="s">
        <v>36</v>
      </c>
      <c r="E57" s="10" t="s">
        <v>28</v>
      </c>
      <c r="F57" s="10" t="s">
        <v>17</v>
      </c>
      <c r="G57" s="10" t="s">
        <v>52</v>
      </c>
      <c r="H57" s="11">
        <v>3067.75</v>
      </c>
      <c r="I57" s="7">
        <v>6.1377095754471611</v>
      </c>
      <c r="J57"/>
      <c r="K57"/>
      <c r="N57" s="8"/>
    </row>
    <row r="58" spans="1:14" x14ac:dyDescent="0.25">
      <c r="A58" t="s">
        <v>13</v>
      </c>
      <c r="B58" s="1">
        <v>57</v>
      </c>
      <c r="C58" s="1" t="s">
        <v>14</v>
      </c>
      <c r="D58" s="5" t="s">
        <v>19</v>
      </c>
      <c r="E58" s="5" t="s">
        <v>20</v>
      </c>
      <c r="F58" s="6" t="s">
        <v>17</v>
      </c>
      <c r="G58" s="6" t="s">
        <v>52</v>
      </c>
      <c r="H58" s="7">
        <v>387.6</v>
      </c>
      <c r="I58" s="7">
        <v>0.77547917250210086</v>
      </c>
      <c r="J58"/>
      <c r="K58"/>
      <c r="N58" s="8"/>
    </row>
    <row r="59" spans="1:14" x14ac:dyDescent="0.25">
      <c r="A59" t="s">
        <v>13</v>
      </c>
      <c r="B59" s="1">
        <v>58</v>
      </c>
      <c r="C59" s="1" t="s">
        <v>14</v>
      </c>
      <c r="D59" s="9" t="s">
        <v>36</v>
      </c>
      <c r="E59" s="10" t="s">
        <v>28</v>
      </c>
      <c r="F59" s="10" t="s">
        <v>17</v>
      </c>
      <c r="G59" s="10" t="s">
        <v>53</v>
      </c>
      <c r="H59" s="12">
        <v>295175.55</v>
      </c>
      <c r="I59" s="7">
        <v>590.56370293305588</v>
      </c>
      <c r="J59"/>
      <c r="K59" s="13"/>
      <c r="N59" s="8"/>
    </row>
    <row r="60" spans="1:14" x14ac:dyDescent="0.25">
      <c r="A60" t="s">
        <v>13</v>
      </c>
      <c r="B60" s="1">
        <v>59</v>
      </c>
      <c r="C60" s="1" t="s">
        <v>14</v>
      </c>
      <c r="D60" s="5" t="s">
        <v>19</v>
      </c>
      <c r="E60" s="5" t="s">
        <v>20</v>
      </c>
      <c r="F60" s="6" t="s">
        <v>17</v>
      </c>
      <c r="G60" s="6" t="s">
        <v>53</v>
      </c>
      <c r="H60" s="12">
        <v>36905.550000000003</v>
      </c>
      <c r="I60" s="7">
        <v>73.837681565363539</v>
      </c>
      <c r="J60"/>
      <c r="K60"/>
      <c r="N60" s="8"/>
    </row>
    <row r="61" spans="1:14" x14ac:dyDescent="0.25">
      <c r="A61" t="s">
        <v>13</v>
      </c>
      <c r="B61" s="1">
        <v>60</v>
      </c>
      <c r="C61" s="1" t="s">
        <v>14</v>
      </c>
      <c r="D61" s="9" t="s">
        <v>15</v>
      </c>
      <c r="E61" s="10" t="s">
        <v>16</v>
      </c>
      <c r="F61" s="10" t="s">
        <v>17</v>
      </c>
      <c r="G61" s="10" t="s">
        <v>54</v>
      </c>
      <c r="H61" s="11">
        <v>126657.84999999999</v>
      </c>
      <c r="I61" s="7">
        <v>253.40692649353767</v>
      </c>
      <c r="J61"/>
      <c r="K61"/>
      <c r="N61" s="8"/>
    </row>
    <row r="62" spans="1:14" x14ac:dyDescent="0.25">
      <c r="A62" t="s">
        <v>13</v>
      </c>
      <c r="B62" s="1">
        <v>61</v>
      </c>
      <c r="C62" s="1" t="s">
        <v>14</v>
      </c>
      <c r="D62" s="5" t="s">
        <v>19</v>
      </c>
      <c r="E62" s="5" t="s">
        <v>20</v>
      </c>
      <c r="F62" s="6" t="s">
        <v>17</v>
      </c>
      <c r="G62" s="6" t="s">
        <v>54</v>
      </c>
      <c r="H62" s="7">
        <v>15692.7</v>
      </c>
      <c r="I62" s="7">
        <v>31.396702813012688</v>
      </c>
      <c r="J62"/>
      <c r="K62"/>
      <c r="N62" s="8"/>
    </row>
    <row r="63" spans="1:14" x14ac:dyDescent="0.25">
      <c r="A63" t="s">
        <v>13</v>
      </c>
      <c r="B63" s="1">
        <v>62</v>
      </c>
      <c r="C63" s="1" t="s">
        <v>14</v>
      </c>
      <c r="D63" s="9" t="s">
        <v>15</v>
      </c>
      <c r="E63" s="10" t="s">
        <v>16</v>
      </c>
      <c r="F63" s="10" t="s">
        <v>17</v>
      </c>
      <c r="G63" s="10" t="s">
        <v>55</v>
      </c>
      <c r="H63" s="12">
        <v>60419.850000000006</v>
      </c>
      <c r="I63" s="7">
        <v>120.88321795846507</v>
      </c>
      <c r="J63"/>
      <c r="K63"/>
      <c r="N63" s="8"/>
    </row>
    <row r="64" spans="1:14" x14ac:dyDescent="0.25">
      <c r="A64" t="s">
        <v>13</v>
      </c>
      <c r="B64" s="1">
        <v>63</v>
      </c>
      <c r="C64" s="1" t="s">
        <v>14</v>
      </c>
      <c r="D64" s="5" t="s">
        <v>19</v>
      </c>
      <c r="E64" s="5" t="s">
        <v>20</v>
      </c>
      <c r="F64" s="6" t="s">
        <v>17</v>
      </c>
      <c r="G64" s="6" t="s">
        <v>55</v>
      </c>
      <c r="H64" s="12">
        <v>7475</v>
      </c>
      <c r="I64" s="7">
        <v>14.955383938217759</v>
      </c>
      <c r="J64"/>
      <c r="K64"/>
      <c r="N64" s="8"/>
    </row>
    <row r="65" spans="1:14" x14ac:dyDescent="0.25">
      <c r="A65" t="s">
        <v>13</v>
      </c>
      <c r="B65" s="1">
        <v>64</v>
      </c>
      <c r="C65" s="1" t="s">
        <v>14</v>
      </c>
      <c r="D65" s="9" t="s">
        <v>15</v>
      </c>
      <c r="E65" s="10" t="s">
        <v>16</v>
      </c>
      <c r="F65" s="10" t="s">
        <v>17</v>
      </c>
      <c r="G65" s="10" t="s">
        <v>56</v>
      </c>
      <c r="H65" s="11">
        <v>20916.45</v>
      </c>
      <c r="I65" s="7">
        <v>41.847965267496299</v>
      </c>
      <c r="J65"/>
      <c r="K65"/>
      <c r="N65" s="8"/>
    </row>
    <row r="66" spans="1:14" x14ac:dyDescent="0.25">
      <c r="A66" t="s">
        <v>13</v>
      </c>
      <c r="B66" s="1">
        <v>65</v>
      </c>
      <c r="C66" s="1" t="s">
        <v>14</v>
      </c>
      <c r="D66" s="5" t="s">
        <v>15</v>
      </c>
      <c r="E66" s="5" t="s">
        <v>16</v>
      </c>
      <c r="F66" s="6" t="s">
        <v>17</v>
      </c>
      <c r="G66" s="6" t="s">
        <v>57</v>
      </c>
      <c r="H66" s="7">
        <v>16327.7</v>
      </c>
      <c r="I66" s="7">
        <v>32.667160177663959</v>
      </c>
      <c r="J66"/>
      <c r="K66"/>
      <c r="N66" s="8"/>
    </row>
    <row r="67" spans="1:14" x14ac:dyDescent="0.25">
      <c r="A67" t="s">
        <v>13</v>
      </c>
      <c r="B67" s="1">
        <v>66</v>
      </c>
      <c r="C67" s="1" t="s">
        <v>14</v>
      </c>
      <c r="D67" s="9" t="s">
        <v>15</v>
      </c>
      <c r="E67" s="10" t="s">
        <v>16</v>
      </c>
      <c r="F67" s="10" t="s">
        <v>17</v>
      </c>
      <c r="G67" s="10" t="s">
        <v>58</v>
      </c>
      <c r="H67" s="12">
        <v>62015.9</v>
      </c>
      <c r="I67" s="7">
        <v>124.07646752831019</v>
      </c>
      <c r="J67"/>
      <c r="K67"/>
      <c r="N67" s="8"/>
    </row>
    <row r="68" spans="1:14" x14ac:dyDescent="0.25">
      <c r="A68" t="s">
        <v>13</v>
      </c>
      <c r="B68" s="1">
        <v>67</v>
      </c>
      <c r="C68" s="1" t="s">
        <v>14</v>
      </c>
      <c r="D68" s="5" t="s">
        <v>19</v>
      </c>
      <c r="E68" s="5" t="s">
        <v>20</v>
      </c>
      <c r="F68" s="6" t="s">
        <v>17</v>
      </c>
      <c r="G68" s="6" t="s">
        <v>58</v>
      </c>
      <c r="H68" s="12">
        <v>7673.1</v>
      </c>
      <c r="I68" s="7">
        <v>15.35172662158377</v>
      </c>
      <c r="J68"/>
      <c r="K68"/>
      <c r="N68" s="8"/>
    </row>
    <row r="69" spans="1:14" x14ac:dyDescent="0.25">
      <c r="A69" t="s">
        <v>13</v>
      </c>
      <c r="B69" s="1">
        <v>68</v>
      </c>
      <c r="C69" s="1" t="s">
        <v>14</v>
      </c>
      <c r="D69" s="9" t="s">
        <v>15</v>
      </c>
      <c r="E69" s="10" t="s">
        <v>16</v>
      </c>
      <c r="F69" s="10" t="s">
        <v>17</v>
      </c>
      <c r="G69" s="10" t="s">
        <v>59</v>
      </c>
      <c r="H69" s="11">
        <v>12971</v>
      </c>
      <c r="I69" s="7">
        <v>25.951342483293985</v>
      </c>
      <c r="J69"/>
      <c r="K69"/>
      <c r="N69" s="8"/>
    </row>
    <row r="70" spans="1:14" x14ac:dyDescent="0.25">
      <c r="A70" t="s">
        <v>13</v>
      </c>
      <c r="B70" s="1">
        <v>69</v>
      </c>
      <c r="C70" s="1" t="s">
        <v>14</v>
      </c>
      <c r="D70" s="5" t="s">
        <v>15</v>
      </c>
      <c r="E70" s="5" t="s">
        <v>16</v>
      </c>
      <c r="F70" s="6" t="s">
        <v>17</v>
      </c>
      <c r="G70" s="6" t="s">
        <v>60</v>
      </c>
      <c r="H70" s="7">
        <v>22811.8</v>
      </c>
      <c r="I70" s="7">
        <v>45.640030410947944</v>
      </c>
      <c r="J70"/>
      <c r="K70"/>
      <c r="N70" s="8"/>
    </row>
    <row r="71" spans="1:14" x14ac:dyDescent="0.25">
      <c r="A71" t="s">
        <v>13</v>
      </c>
      <c r="B71" s="1">
        <v>70</v>
      </c>
      <c r="C71" s="1" t="s">
        <v>14</v>
      </c>
      <c r="D71" s="9" t="s">
        <v>19</v>
      </c>
      <c r="E71" s="10" t="s">
        <v>20</v>
      </c>
      <c r="F71" s="10" t="s">
        <v>17</v>
      </c>
      <c r="G71" s="10" t="s">
        <v>60</v>
      </c>
      <c r="H71" s="12">
        <v>2809.25</v>
      </c>
      <c r="I71" s="7">
        <v>5.6205233884198309</v>
      </c>
      <c r="J71"/>
      <c r="K71"/>
      <c r="N71" s="8"/>
    </row>
    <row r="72" spans="1:14" x14ac:dyDescent="0.25">
      <c r="A72" t="s">
        <v>13</v>
      </c>
      <c r="B72" s="1">
        <v>71</v>
      </c>
      <c r="C72" s="1" t="s">
        <v>14</v>
      </c>
      <c r="D72" s="5" t="s">
        <v>15</v>
      </c>
      <c r="E72" s="5" t="s">
        <v>16</v>
      </c>
      <c r="F72" s="6" t="s">
        <v>17</v>
      </c>
      <c r="G72" s="6" t="s">
        <v>61</v>
      </c>
      <c r="H72" s="12">
        <v>83164.2</v>
      </c>
      <c r="I72" s="7">
        <v>166.38829978792364</v>
      </c>
      <c r="J72"/>
      <c r="K72"/>
      <c r="N72" s="8"/>
    </row>
    <row r="73" spans="1:14" x14ac:dyDescent="0.25">
      <c r="A73" t="s">
        <v>13</v>
      </c>
      <c r="B73" s="1">
        <v>72</v>
      </c>
      <c r="C73" s="1" t="s">
        <v>14</v>
      </c>
      <c r="D73" s="9" t="s">
        <v>19</v>
      </c>
      <c r="E73" s="10" t="s">
        <v>20</v>
      </c>
      <c r="F73" s="10" t="s">
        <v>17</v>
      </c>
      <c r="G73" s="10" t="s">
        <v>61</v>
      </c>
      <c r="H73" s="11">
        <v>10296.85</v>
      </c>
      <c r="I73" s="7">
        <v>20.601116401904687</v>
      </c>
      <c r="J73"/>
      <c r="K73"/>
      <c r="N73" s="8"/>
    </row>
    <row r="74" spans="1:14" x14ac:dyDescent="0.25">
      <c r="A74" t="s">
        <v>13</v>
      </c>
      <c r="B74" s="1">
        <v>73</v>
      </c>
      <c r="C74" s="1" t="s">
        <v>14</v>
      </c>
      <c r="D74" s="5" t="s">
        <v>15</v>
      </c>
      <c r="E74" s="5" t="s">
        <v>16</v>
      </c>
      <c r="F74" s="6" t="s">
        <v>17</v>
      </c>
      <c r="G74" s="6" t="s">
        <v>62</v>
      </c>
      <c r="H74" s="7">
        <v>111694.45</v>
      </c>
      <c r="I74" s="7">
        <v>223.46934896562763</v>
      </c>
      <c r="J74"/>
      <c r="K74"/>
      <c r="N74" s="8"/>
    </row>
    <row r="75" spans="1:14" x14ac:dyDescent="0.25">
      <c r="A75" t="s">
        <v>13</v>
      </c>
      <c r="B75" s="1">
        <v>74</v>
      </c>
      <c r="C75" s="1" t="s">
        <v>14</v>
      </c>
      <c r="D75" s="9" t="s">
        <v>19</v>
      </c>
      <c r="E75" s="10" t="s">
        <v>20</v>
      </c>
      <c r="F75" s="10" t="s">
        <v>17</v>
      </c>
      <c r="G75" s="10" t="s">
        <v>62</v>
      </c>
      <c r="H75" s="12">
        <v>13836.3</v>
      </c>
      <c r="I75" s="7">
        <v>27.682565723660517</v>
      </c>
      <c r="J75"/>
      <c r="K75"/>
      <c r="N75" s="8"/>
    </row>
    <row r="76" spans="1:14" x14ac:dyDescent="0.25">
      <c r="A76" t="s">
        <v>13</v>
      </c>
      <c r="B76" s="1">
        <v>75</v>
      </c>
      <c r="C76" s="1" t="s">
        <v>14</v>
      </c>
      <c r="D76" s="5" t="s">
        <v>15</v>
      </c>
      <c r="E76" s="5" t="s">
        <v>16</v>
      </c>
      <c r="F76" s="6" t="s">
        <v>17</v>
      </c>
      <c r="G76" s="6" t="s">
        <v>63</v>
      </c>
      <c r="H76" s="12">
        <v>46952.800000000003</v>
      </c>
      <c r="I76" s="7">
        <v>93.939418190548608</v>
      </c>
      <c r="J76"/>
      <c r="K76"/>
      <c r="N76" s="8"/>
    </row>
    <row r="77" spans="1:14" x14ac:dyDescent="0.25">
      <c r="A77" t="s">
        <v>13</v>
      </c>
      <c r="B77" s="1">
        <v>76</v>
      </c>
      <c r="C77" s="1" t="s">
        <v>14</v>
      </c>
      <c r="D77" s="9" t="s">
        <v>19</v>
      </c>
      <c r="E77" s="10" t="s">
        <v>20</v>
      </c>
      <c r="F77" s="10" t="s">
        <v>17</v>
      </c>
      <c r="G77" s="10" t="s">
        <v>63</v>
      </c>
      <c r="H77" s="11">
        <v>5804.35</v>
      </c>
      <c r="I77" s="7">
        <v>11.612880637029331</v>
      </c>
      <c r="J77"/>
      <c r="K77"/>
      <c r="N77" s="8"/>
    </row>
    <row r="78" spans="1:14" x14ac:dyDescent="0.25">
      <c r="A78" t="s">
        <v>13</v>
      </c>
      <c r="B78" s="1">
        <v>77</v>
      </c>
      <c r="C78" s="1" t="s">
        <v>14</v>
      </c>
      <c r="D78" s="5" t="s">
        <v>15</v>
      </c>
      <c r="E78" s="5" t="s">
        <v>16</v>
      </c>
      <c r="F78" s="6" t="s">
        <v>17</v>
      </c>
      <c r="G78" s="6" t="s">
        <v>64</v>
      </c>
      <c r="H78" s="7">
        <v>26602.550000000003</v>
      </c>
      <c r="I78" s="7">
        <v>53.224260733864199</v>
      </c>
      <c r="J78"/>
      <c r="K78"/>
      <c r="N78" s="8"/>
    </row>
    <row r="79" spans="1:14" x14ac:dyDescent="0.25">
      <c r="A79" t="s">
        <v>13</v>
      </c>
      <c r="B79" s="1">
        <v>78</v>
      </c>
      <c r="C79" s="1" t="s">
        <v>14</v>
      </c>
      <c r="D79" s="9" t="s">
        <v>19</v>
      </c>
      <c r="E79" s="10" t="s">
        <v>20</v>
      </c>
      <c r="F79" s="10" t="s">
        <v>17</v>
      </c>
      <c r="G79" s="10" t="s">
        <v>64</v>
      </c>
      <c r="H79" s="12">
        <v>3279.6</v>
      </c>
      <c r="I79" s="7">
        <v>6.5615621623784559</v>
      </c>
      <c r="J79"/>
      <c r="K79"/>
      <c r="N79" s="8"/>
    </row>
    <row r="80" spans="1:14" x14ac:dyDescent="0.25">
      <c r="A80" t="s">
        <v>13</v>
      </c>
      <c r="B80" s="1">
        <v>79</v>
      </c>
      <c r="C80" s="1" t="s">
        <v>14</v>
      </c>
      <c r="D80" s="5" t="s">
        <v>15</v>
      </c>
      <c r="E80" s="5" t="s">
        <v>16</v>
      </c>
      <c r="F80" s="6" t="s">
        <v>17</v>
      </c>
      <c r="G80" s="6" t="s">
        <v>65</v>
      </c>
      <c r="H80" s="12">
        <v>50036.700000000004</v>
      </c>
      <c r="I80" s="7">
        <v>100.10943939818335</v>
      </c>
      <c r="J80"/>
      <c r="K80"/>
      <c r="N80" s="8"/>
    </row>
    <row r="81" spans="1:14" x14ac:dyDescent="0.25">
      <c r="A81" t="s">
        <v>13</v>
      </c>
      <c r="B81" s="1">
        <v>80</v>
      </c>
      <c r="C81" s="1" t="s">
        <v>14</v>
      </c>
      <c r="D81" s="9" t="s">
        <v>19</v>
      </c>
      <c r="E81" s="10" t="s">
        <v>20</v>
      </c>
      <c r="F81" s="10" t="s">
        <v>17</v>
      </c>
      <c r="G81" s="10" t="s">
        <v>65</v>
      </c>
      <c r="H81" s="11">
        <v>6215.7</v>
      </c>
      <c r="I81" s="7">
        <v>12.435876915689649</v>
      </c>
      <c r="J81"/>
      <c r="K81"/>
      <c r="N81" s="8"/>
    </row>
    <row r="82" spans="1:14" x14ac:dyDescent="0.25">
      <c r="A82" t="s">
        <v>13</v>
      </c>
      <c r="B82" s="1">
        <v>81</v>
      </c>
      <c r="C82" s="1" t="s">
        <v>14</v>
      </c>
      <c r="D82" s="5" t="s">
        <v>15</v>
      </c>
      <c r="E82" s="5" t="s">
        <v>16</v>
      </c>
      <c r="F82" s="6" t="s">
        <v>17</v>
      </c>
      <c r="G82" s="6" t="s">
        <v>66</v>
      </c>
      <c r="H82" s="7">
        <v>243593.2</v>
      </c>
      <c r="I82" s="7">
        <v>487.36185026609581</v>
      </c>
      <c r="J82"/>
      <c r="K82"/>
      <c r="N82" s="8"/>
    </row>
    <row r="83" spans="1:14" x14ac:dyDescent="0.25">
      <c r="A83" t="s">
        <v>13</v>
      </c>
      <c r="B83" s="1">
        <v>82</v>
      </c>
      <c r="C83" s="1" t="s">
        <v>14</v>
      </c>
      <c r="D83" s="9" t="s">
        <v>19</v>
      </c>
      <c r="E83" s="10" t="s">
        <v>20</v>
      </c>
      <c r="F83" s="10" t="s">
        <v>17</v>
      </c>
      <c r="G83" s="10" t="s">
        <v>66</v>
      </c>
      <c r="H83" s="12">
        <v>30358.25</v>
      </c>
      <c r="I83" s="7">
        <v>60.738365811692212</v>
      </c>
      <c r="J83"/>
      <c r="K83"/>
      <c r="N83" s="8"/>
    </row>
    <row r="84" spans="1:14" x14ac:dyDescent="0.25">
      <c r="A84" t="s">
        <v>13</v>
      </c>
      <c r="B84" s="1">
        <v>83</v>
      </c>
      <c r="C84" s="1" t="s">
        <v>14</v>
      </c>
      <c r="D84" s="5" t="s">
        <v>15</v>
      </c>
      <c r="E84" s="5" t="s">
        <v>16</v>
      </c>
      <c r="F84" s="6" t="s">
        <v>17</v>
      </c>
      <c r="G84" s="6" t="s">
        <v>67</v>
      </c>
      <c r="H84" s="12">
        <v>36578.15</v>
      </c>
      <c r="I84" s="7">
        <v>73.18264575247089</v>
      </c>
      <c r="J84"/>
      <c r="K84"/>
      <c r="N84" s="8"/>
    </row>
    <row r="85" spans="1:14" x14ac:dyDescent="0.25">
      <c r="A85" t="s">
        <v>13</v>
      </c>
      <c r="B85" s="1">
        <v>84</v>
      </c>
      <c r="C85" s="1" t="s">
        <v>14</v>
      </c>
      <c r="D85" s="9" t="s">
        <v>19</v>
      </c>
      <c r="E85" s="10" t="s">
        <v>20</v>
      </c>
      <c r="F85" s="10" t="s">
        <v>17</v>
      </c>
      <c r="G85" s="10" t="s">
        <v>67</v>
      </c>
      <c r="H85" s="11">
        <v>4517.1499999999996</v>
      </c>
      <c r="I85" s="7">
        <v>9.0375535192669361</v>
      </c>
      <c r="J85"/>
      <c r="K85"/>
      <c r="N85" s="8"/>
    </row>
    <row r="86" spans="1:14" x14ac:dyDescent="0.25">
      <c r="A86" t="s">
        <v>13</v>
      </c>
      <c r="B86" s="1">
        <v>85</v>
      </c>
      <c r="C86" s="1" t="s">
        <v>14</v>
      </c>
      <c r="D86" s="5" t="s">
        <v>15</v>
      </c>
      <c r="E86" s="5" t="s">
        <v>16</v>
      </c>
      <c r="F86" s="6" t="s">
        <v>17</v>
      </c>
      <c r="G86" s="6" t="s">
        <v>68</v>
      </c>
      <c r="H86" s="7">
        <v>95633.7</v>
      </c>
      <c r="I86" s="7">
        <v>191.33628106118204</v>
      </c>
      <c r="J86"/>
      <c r="K86"/>
      <c r="N86" s="8"/>
    </row>
    <row r="87" spans="1:14" x14ac:dyDescent="0.25">
      <c r="A87" t="s">
        <v>13</v>
      </c>
      <c r="B87" s="1">
        <v>86</v>
      </c>
      <c r="C87" s="1" t="s">
        <v>14</v>
      </c>
      <c r="D87" s="9" t="s">
        <v>19</v>
      </c>
      <c r="E87" s="10" t="s">
        <v>20</v>
      </c>
      <c r="F87" s="10" t="s">
        <v>17</v>
      </c>
      <c r="G87" s="10" t="s">
        <v>68</v>
      </c>
      <c r="H87" s="12">
        <v>11843.8</v>
      </c>
      <c r="I87" s="7">
        <v>23.696130607018524</v>
      </c>
      <c r="J87"/>
      <c r="K87"/>
      <c r="N87" s="8"/>
    </row>
    <row r="88" spans="1:14" x14ac:dyDescent="0.25">
      <c r="A88" t="s">
        <v>13</v>
      </c>
      <c r="B88" s="1">
        <v>87</v>
      </c>
      <c r="C88" s="1" t="s">
        <v>14</v>
      </c>
      <c r="D88" s="5" t="s">
        <v>15</v>
      </c>
      <c r="E88" s="5" t="s">
        <v>16</v>
      </c>
      <c r="F88" s="6" t="s">
        <v>17</v>
      </c>
      <c r="G88" s="6" t="s">
        <v>69</v>
      </c>
      <c r="H88" s="12">
        <v>75482.95</v>
      </c>
      <c r="I88" s="7">
        <v>151.02026729622665</v>
      </c>
      <c r="J88"/>
      <c r="K88"/>
      <c r="N88" s="8"/>
    </row>
    <row r="89" spans="1:14" x14ac:dyDescent="0.25">
      <c r="A89" t="s">
        <v>13</v>
      </c>
      <c r="B89" s="1">
        <v>88</v>
      </c>
      <c r="C89" s="1" t="s">
        <v>14</v>
      </c>
      <c r="D89" s="9" t="s">
        <v>19</v>
      </c>
      <c r="E89" s="10" t="s">
        <v>20</v>
      </c>
      <c r="F89" s="10" t="s">
        <v>17</v>
      </c>
      <c r="G89" s="10" t="s">
        <v>69</v>
      </c>
      <c r="H89" s="11">
        <v>9343.7999999999993</v>
      </c>
      <c r="I89" s="7">
        <v>18.694329958785161</v>
      </c>
      <c r="J89"/>
      <c r="K89"/>
      <c r="N89" s="8"/>
    </row>
    <row r="90" spans="1:14" x14ac:dyDescent="0.25">
      <c r="A90" t="s">
        <v>13</v>
      </c>
      <c r="B90" s="1">
        <v>89</v>
      </c>
      <c r="C90" s="1" t="s">
        <v>14</v>
      </c>
      <c r="D90" s="5" t="s">
        <v>15</v>
      </c>
      <c r="E90" s="5" t="s">
        <v>16</v>
      </c>
      <c r="F90" s="6" t="s">
        <v>17</v>
      </c>
      <c r="G90" s="6" t="s">
        <v>70</v>
      </c>
      <c r="H90" s="7">
        <v>165955.20000000001</v>
      </c>
      <c r="I90" s="7">
        <v>332.02993077507904</v>
      </c>
      <c r="J90"/>
      <c r="K90"/>
      <c r="N90" s="8"/>
    </row>
    <row r="91" spans="1:14" x14ac:dyDescent="0.25">
      <c r="A91" t="s">
        <v>13</v>
      </c>
      <c r="B91" s="1">
        <v>90</v>
      </c>
      <c r="C91" s="1" t="s">
        <v>14</v>
      </c>
      <c r="D91" s="9" t="s">
        <v>19</v>
      </c>
      <c r="E91" s="10" t="s">
        <v>20</v>
      </c>
      <c r="F91" s="10" t="s">
        <v>17</v>
      </c>
      <c r="G91" s="10" t="s">
        <v>70</v>
      </c>
      <c r="H91" s="12">
        <v>20615.3</v>
      </c>
      <c r="I91" s="7">
        <v>41.245448361410105</v>
      </c>
      <c r="J91"/>
      <c r="K91"/>
      <c r="N91" s="8"/>
    </row>
    <row r="92" spans="1:14" x14ac:dyDescent="0.25">
      <c r="A92" t="s">
        <v>13</v>
      </c>
      <c r="B92" s="1">
        <v>91</v>
      </c>
      <c r="C92" s="1" t="s">
        <v>14</v>
      </c>
      <c r="D92" s="5" t="s">
        <v>15</v>
      </c>
      <c r="E92" s="5" t="s">
        <v>16</v>
      </c>
      <c r="F92" s="6" t="s">
        <v>17</v>
      </c>
      <c r="G92" s="6" t="s">
        <v>71</v>
      </c>
      <c r="H92" s="12">
        <v>139027.55000000002</v>
      </c>
      <c r="I92" s="7">
        <v>278.15523588491862</v>
      </c>
      <c r="J92"/>
      <c r="K92"/>
      <c r="N92" s="8"/>
    </row>
    <row r="93" spans="1:14" x14ac:dyDescent="0.25">
      <c r="A93" t="s">
        <v>13</v>
      </c>
      <c r="B93" s="1">
        <v>92</v>
      </c>
      <c r="C93" s="1" t="s">
        <v>14</v>
      </c>
      <c r="D93" s="9" t="s">
        <v>19</v>
      </c>
      <c r="E93" s="10" t="s">
        <v>20</v>
      </c>
      <c r="F93" s="10" t="s">
        <v>17</v>
      </c>
      <c r="G93" s="10" t="s">
        <v>71</v>
      </c>
      <c r="H93" s="11">
        <v>17227.400000000001</v>
      </c>
      <c r="I93" s="7">
        <v>34.467208194950189</v>
      </c>
      <c r="J93"/>
      <c r="K93"/>
      <c r="N93" s="8"/>
    </row>
    <row r="94" spans="1:14" x14ac:dyDescent="0.25">
      <c r="A94" t="s">
        <v>13</v>
      </c>
      <c r="B94" s="1">
        <v>93</v>
      </c>
      <c r="C94" s="1" t="s">
        <v>14</v>
      </c>
      <c r="D94" s="5" t="s">
        <v>15</v>
      </c>
      <c r="E94" s="5" t="s">
        <v>16</v>
      </c>
      <c r="F94" s="6" t="s">
        <v>17</v>
      </c>
      <c r="G94" s="6" t="s">
        <v>72</v>
      </c>
      <c r="H94" s="7">
        <v>70395.450000000012</v>
      </c>
      <c r="I94" s="7">
        <v>140.84160297707177</v>
      </c>
      <c r="J94"/>
      <c r="K94"/>
      <c r="N94" s="14"/>
    </row>
    <row r="95" spans="1:14" x14ac:dyDescent="0.25">
      <c r="A95" t="s">
        <v>13</v>
      </c>
      <c r="B95" s="1">
        <v>94</v>
      </c>
      <c r="C95" s="1" t="s">
        <v>14</v>
      </c>
      <c r="D95" s="9" t="s">
        <v>19</v>
      </c>
      <c r="E95" s="10" t="s">
        <v>20</v>
      </c>
      <c r="F95" s="10" t="s">
        <v>17</v>
      </c>
      <c r="G95" s="10" t="s">
        <v>72</v>
      </c>
      <c r="H95" s="12">
        <v>8712.65</v>
      </c>
      <c r="I95" s="7">
        <v>17.431575367132169</v>
      </c>
      <c r="J95"/>
      <c r="K95"/>
      <c r="N95" s="14"/>
    </row>
    <row r="96" spans="1:14" x14ac:dyDescent="0.25">
      <c r="A96" t="s">
        <v>13</v>
      </c>
      <c r="B96" s="1">
        <v>95</v>
      </c>
      <c r="C96" s="1" t="s">
        <v>14</v>
      </c>
      <c r="D96" s="5" t="s">
        <v>15</v>
      </c>
      <c r="E96" s="5" t="s">
        <v>16</v>
      </c>
      <c r="F96" s="6" t="s">
        <v>17</v>
      </c>
      <c r="G96" s="6" t="s">
        <v>73</v>
      </c>
      <c r="H96" s="12">
        <v>26602.550000000003</v>
      </c>
      <c r="I96" s="7">
        <v>53.224260733864199</v>
      </c>
      <c r="J96"/>
      <c r="K96"/>
      <c r="N96" s="14"/>
    </row>
    <row r="97" spans="1:14" x14ac:dyDescent="0.25">
      <c r="A97" t="s">
        <v>13</v>
      </c>
      <c r="B97" s="1">
        <v>96</v>
      </c>
      <c r="C97" s="1" t="s">
        <v>14</v>
      </c>
      <c r="D97" s="9" t="s">
        <v>19</v>
      </c>
      <c r="E97" s="10" t="s">
        <v>20</v>
      </c>
      <c r="F97" s="10" t="s">
        <v>17</v>
      </c>
      <c r="G97" s="10" t="s">
        <v>73</v>
      </c>
      <c r="H97" s="11">
        <v>3279.6</v>
      </c>
      <c r="I97" s="7">
        <v>6.5615621623784559</v>
      </c>
      <c r="J97"/>
      <c r="K97"/>
      <c r="N97" s="14"/>
    </row>
    <row r="98" spans="1:14" x14ac:dyDescent="0.25">
      <c r="A98" t="s">
        <v>13</v>
      </c>
      <c r="B98" s="1">
        <v>97</v>
      </c>
      <c r="C98" s="1" t="s">
        <v>14</v>
      </c>
      <c r="D98" s="5" t="s">
        <v>15</v>
      </c>
      <c r="E98" s="5" t="s">
        <v>16</v>
      </c>
      <c r="F98" s="6" t="s">
        <v>17</v>
      </c>
      <c r="G98" s="6" t="s">
        <v>74</v>
      </c>
      <c r="H98" s="7">
        <v>156684.4</v>
      </c>
      <c r="I98" s="7">
        <v>313.48165339522228</v>
      </c>
      <c r="J98"/>
      <c r="K98"/>
      <c r="N98" s="14"/>
    </row>
    <row r="99" spans="1:14" x14ac:dyDescent="0.25">
      <c r="A99" t="s">
        <v>13</v>
      </c>
      <c r="B99" s="1">
        <v>98</v>
      </c>
      <c r="C99" s="1" t="s">
        <v>14</v>
      </c>
      <c r="D99" s="9" t="s">
        <v>19</v>
      </c>
      <c r="E99" s="10" t="s">
        <v>20</v>
      </c>
      <c r="F99" s="10" t="s">
        <v>17</v>
      </c>
      <c r="G99" s="10" t="s">
        <v>74</v>
      </c>
      <c r="H99" s="12">
        <v>19417.900000000001</v>
      </c>
      <c r="I99" s="7">
        <v>38.849785922932256</v>
      </c>
      <c r="J99"/>
      <c r="K99"/>
      <c r="N99" s="14"/>
    </row>
    <row r="100" spans="1:14" x14ac:dyDescent="0.25">
      <c r="A100" t="s">
        <v>13</v>
      </c>
      <c r="B100" s="1">
        <v>99</v>
      </c>
      <c r="C100" s="1" t="s">
        <v>14</v>
      </c>
      <c r="D100" s="5" t="s">
        <v>75</v>
      </c>
      <c r="E100" s="5" t="s">
        <v>28</v>
      </c>
      <c r="F100" s="6" t="s">
        <v>17</v>
      </c>
      <c r="G100" s="6" t="s">
        <v>76</v>
      </c>
      <c r="H100" s="12">
        <v>109246.79999999999</v>
      </c>
      <c r="I100" s="7">
        <v>218.57228602296826</v>
      </c>
      <c r="J100"/>
      <c r="K100"/>
      <c r="N100" s="14"/>
    </row>
    <row r="101" spans="1:14" x14ac:dyDescent="0.25">
      <c r="A101" t="s">
        <v>13</v>
      </c>
      <c r="B101" s="1">
        <v>100</v>
      </c>
      <c r="C101" s="1" t="s">
        <v>14</v>
      </c>
      <c r="D101" s="9" t="s">
        <v>19</v>
      </c>
      <c r="E101" s="10" t="s">
        <v>20</v>
      </c>
      <c r="F101" s="10" t="s">
        <v>17</v>
      </c>
      <c r="G101" s="10" t="s">
        <v>76</v>
      </c>
      <c r="H101" s="11">
        <v>13570.85</v>
      </c>
      <c r="I101" s="7">
        <v>27.151474530831099</v>
      </c>
      <c r="J101"/>
      <c r="K101"/>
      <c r="N101" s="14"/>
    </row>
    <row r="102" spans="1:14" x14ac:dyDescent="0.25">
      <c r="A102" t="s">
        <v>13</v>
      </c>
      <c r="B102" s="1">
        <v>101</v>
      </c>
      <c r="C102" s="1" t="s">
        <v>14</v>
      </c>
      <c r="D102" s="5" t="s">
        <v>75</v>
      </c>
      <c r="E102" s="5" t="s">
        <v>28</v>
      </c>
      <c r="F102" s="6" t="s">
        <v>17</v>
      </c>
      <c r="G102" s="6" t="s">
        <v>77</v>
      </c>
      <c r="H102" s="7">
        <v>3067.75</v>
      </c>
      <c r="I102" s="7">
        <v>6.1377095754471611</v>
      </c>
      <c r="J102"/>
      <c r="K102"/>
      <c r="N102" s="14"/>
    </row>
    <row r="103" spans="1:14" x14ac:dyDescent="0.25">
      <c r="A103" t="s">
        <v>13</v>
      </c>
      <c r="B103" s="1">
        <v>102</v>
      </c>
      <c r="C103" s="1" t="s">
        <v>14</v>
      </c>
      <c r="D103" s="9" t="s">
        <v>19</v>
      </c>
      <c r="E103" s="10" t="s">
        <v>20</v>
      </c>
      <c r="F103" s="10" t="s">
        <v>17</v>
      </c>
      <c r="G103" s="10" t="s">
        <v>77</v>
      </c>
      <c r="H103" s="12">
        <v>387.6</v>
      </c>
      <c r="I103" s="7">
        <v>0.77547917250210086</v>
      </c>
      <c r="J103"/>
      <c r="K103"/>
      <c r="N103" s="14"/>
    </row>
    <row r="104" spans="1:14" x14ac:dyDescent="0.25">
      <c r="A104" t="s">
        <v>13</v>
      </c>
      <c r="B104" s="1">
        <v>103</v>
      </c>
      <c r="C104" s="1" t="s">
        <v>14</v>
      </c>
      <c r="D104" s="5" t="s">
        <v>15</v>
      </c>
      <c r="E104" s="5" t="s">
        <v>16</v>
      </c>
      <c r="F104" s="6" t="s">
        <v>17</v>
      </c>
      <c r="G104" s="6" t="s">
        <v>78</v>
      </c>
      <c r="H104" s="12">
        <v>40133.599999999999</v>
      </c>
      <c r="I104" s="7">
        <v>80.296106598375417</v>
      </c>
      <c r="J104"/>
      <c r="K104"/>
      <c r="N104" s="14"/>
    </row>
    <row r="105" spans="1:14" x14ac:dyDescent="0.25">
      <c r="A105" t="s">
        <v>13</v>
      </c>
      <c r="B105" s="1">
        <v>104</v>
      </c>
      <c r="C105" s="1" t="s">
        <v>14</v>
      </c>
      <c r="D105" s="9" t="s">
        <v>19</v>
      </c>
      <c r="E105" s="10" t="s">
        <v>20</v>
      </c>
      <c r="F105" s="10" t="s">
        <v>17</v>
      </c>
      <c r="G105" s="10" t="s">
        <v>78</v>
      </c>
      <c r="H105" s="11">
        <v>4985.5</v>
      </c>
      <c r="I105" s="7">
        <v>9.9745908527069744</v>
      </c>
      <c r="J105"/>
      <c r="K105"/>
      <c r="N105" s="14"/>
    </row>
    <row r="106" spans="1:14" x14ac:dyDescent="0.25">
      <c r="A106" t="s">
        <v>13</v>
      </c>
      <c r="B106" s="1">
        <v>105</v>
      </c>
      <c r="C106" s="1" t="s">
        <v>14</v>
      </c>
      <c r="D106" s="5" t="s">
        <v>15</v>
      </c>
      <c r="E106" s="5" t="s">
        <v>16</v>
      </c>
      <c r="F106" s="6" t="s">
        <v>17</v>
      </c>
      <c r="G106" s="6" t="s">
        <v>79</v>
      </c>
      <c r="H106" s="7">
        <v>206122.8</v>
      </c>
      <c r="I106" s="7">
        <v>412.39406186227041</v>
      </c>
      <c r="J106"/>
      <c r="K106"/>
      <c r="N106" s="14"/>
    </row>
    <row r="107" spans="1:14" x14ac:dyDescent="0.25">
      <c r="A107" t="s">
        <v>13</v>
      </c>
      <c r="B107" s="1">
        <v>106</v>
      </c>
      <c r="C107" s="1" t="s">
        <v>14</v>
      </c>
      <c r="D107" s="9" t="s">
        <v>19</v>
      </c>
      <c r="E107" s="10" t="s">
        <v>20</v>
      </c>
      <c r="F107" s="10" t="s">
        <v>17</v>
      </c>
      <c r="G107" s="10" t="s">
        <v>79</v>
      </c>
      <c r="H107" s="12">
        <v>25630.7</v>
      </c>
      <c r="I107" s="7">
        <v>51.279860749869954</v>
      </c>
      <c r="J107"/>
      <c r="K107"/>
      <c r="N107" s="14"/>
    </row>
    <row r="108" spans="1:14" x14ac:dyDescent="0.25">
      <c r="A108" t="s">
        <v>13</v>
      </c>
      <c r="B108" s="1">
        <v>107</v>
      </c>
      <c r="C108" s="1" t="s">
        <v>14</v>
      </c>
      <c r="D108" s="5" t="s">
        <v>15</v>
      </c>
      <c r="E108" s="5" t="s">
        <v>16</v>
      </c>
      <c r="F108" s="6" t="s">
        <v>17</v>
      </c>
      <c r="G108" s="6" t="s">
        <v>80</v>
      </c>
      <c r="H108" s="7">
        <v>54634</v>
      </c>
      <c r="I108" s="7">
        <v>109.30735064623265</v>
      </c>
      <c r="J108"/>
      <c r="K108"/>
      <c r="N108" s="14"/>
    </row>
    <row r="109" spans="1:14" x14ac:dyDescent="0.25">
      <c r="A109" t="s">
        <v>13</v>
      </c>
      <c r="B109" s="1">
        <v>108</v>
      </c>
      <c r="C109" s="1" t="s">
        <v>14</v>
      </c>
      <c r="D109" s="9" t="s">
        <v>19</v>
      </c>
      <c r="E109" s="10" t="s">
        <v>20</v>
      </c>
      <c r="F109" s="10" t="s">
        <v>17</v>
      </c>
      <c r="G109" s="10" t="s">
        <v>80</v>
      </c>
      <c r="H109" s="11">
        <v>6757.25</v>
      </c>
      <c r="I109" s="7">
        <v>13.51936697210996</v>
      </c>
      <c r="J109"/>
      <c r="K109"/>
      <c r="N109" s="14"/>
    </row>
    <row r="110" spans="1:14" x14ac:dyDescent="0.25">
      <c r="A110" t="s">
        <v>13</v>
      </c>
      <c r="B110" s="1">
        <v>109</v>
      </c>
      <c r="C110" s="1" t="s">
        <v>14</v>
      </c>
      <c r="D110" s="5" t="s">
        <v>15</v>
      </c>
      <c r="E110" s="5" t="s">
        <v>16</v>
      </c>
      <c r="F110" s="6" t="s">
        <v>17</v>
      </c>
      <c r="G110" s="6" t="s">
        <v>81</v>
      </c>
      <c r="H110" s="12">
        <v>112692</v>
      </c>
      <c r="I110" s="7">
        <v>225.4651674602857</v>
      </c>
      <c r="J110"/>
      <c r="K110"/>
      <c r="N110" s="14"/>
    </row>
    <row r="111" spans="1:14" x14ac:dyDescent="0.25">
      <c r="A111" t="s">
        <v>13</v>
      </c>
      <c r="B111" s="1">
        <v>110</v>
      </c>
      <c r="C111" s="1" t="s">
        <v>14</v>
      </c>
      <c r="D111" s="9" t="s">
        <v>19</v>
      </c>
      <c r="E111" s="10" t="s">
        <v>20</v>
      </c>
      <c r="F111" s="10" t="s">
        <v>17</v>
      </c>
      <c r="G111" s="10" t="s">
        <v>81</v>
      </c>
      <c r="H111" s="12">
        <v>13960.1</v>
      </c>
      <c r="I111" s="7">
        <v>27.930254891761034</v>
      </c>
      <c r="J111"/>
      <c r="K111"/>
      <c r="N111" s="14"/>
    </row>
    <row r="112" spans="1:14" x14ac:dyDescent="0.25">
      <c r="A112" t="s">
        <v>13</v>
      </c>
      <c r="B112" s="1">
        <v>111</v>
      </c>
      <c r="C112" s="1" t="s">
        <v>14</v>
      </c>
      <c r="D112" s="5" t="s">
        <v>15</v>
      </c>
      <c r="E112" s="5" t="s">
        <v>16</v>
      </c>
      <c r="F112" s="6" t="s">
        <v>17</v>
      </c>
      <c r="G112" s="6" t="s">
        <v>82</v>
      </c>
      <c r="H112" s="7">
        <v>135236.85</v>
      </c>
      <c r="I112" s="7">
        <v>270.57110559801532</v>
      </c>
      <c r="J112"/>
      <c r="K112"/>
      <c r="N112" s="14"/>
    </row>
    <row r="113" spans="1:14" x14ac:dyDescent="0.25">
      <c r="A113" t="s">
        <v>13</v>
      </c>
      <c r="B113" s="1">
        <v>112</v>
      </c>
      <c r="C113" s="1" t="s">
        <v>14</v>
      </c>
      <c r="D113" s="9" t="s">
        <v>19</v>
      </c>
      <c r="E113" s="10" t="s">
        <v>20</v>
      </c>
      <c r="F113" s="10" t="s">
        <v>17</v>
      </c>
      <c r="G113" s="10" t="s">
        <v>82</v>
      </c>
      <c r="H113" s="11">
        <v>16757.05</v>
      </c>
      <c r="I113" s="7">
        <v>33.526169420991558</v>
      </c>
      <c r="J113"/>
      <c r="K113"/>
      <c r="N113" s="14"/>
    </row>
    <row r="114" spans="1:14" x14ac:dyDescent="0.25">
      <c r="A114" t="s">
        <v>13</v>
      </c>
      <c r="B114" s="1">
        <v>113</v>
      </c>
      <c r="C114" s="1" t="s">
        <v>14</v>
      </c>
      <c r="D114" s="5" t="s">
        <v>15</v>
      </c>
      <c r="E114" s="5" t="s">
        <v>16</v>
      </c>
      <c r="F114" s="6" t="s">
        <v>17</v>
      </c>
      <c r="G114" s="6" t="s">
        <v>83</v>
      </c>
      <c r="H114" s="12">
        <v>55033</v>
      </c>
      <c r="I114" s="7">
        <v>110.1056380296907</v>
      </c>
      <c r="J114"/>
      <c r="K114"/>
      <c r="N114" s="14"/>
    </row>
    <row r="115" spans="1:14" x14ac:dyDescent="0.25">
      <c r="A115" t="s">
        <v>13</v>
      </c>
      <c r="B115" s="1">
        <v>114</v>
      </c>
      <c r="C115" s="1" t="s">
        <v>14</v>
      </c>
      <c r="D115" s="9" t="s">
        <v>19</v>
      </c>
      <c r="E115" s="10" t="s">
        <v>20</v>
      </c>
      <c r="F115" s="10" t="s">
        <v>17</v>
      </c>
      <c r="G115" s="10" t="s">
        <v>83</v>
      </c>
      <c r="H115" s="12">
        <v>6806.75</v>
      </c>
      <c r="I115" s="7">
        <v>13.618402624944981</v>
      </c>
      <c r="J115"/>
      <c r="K115"/>
      <c r="N115" s="14"/>
    </row>
    <row r="116" spans="1:14" x14ac:dyDescent="0.25">
      <c r="A116" t="s">
        <v>13</v>
      </c>
      <c r="B116" s="1">
        <v>115</v>
      </c>
      <c r="C116" s="1" t="s">
        <v>14</v>
      </c>
      <c r="D116" s="5" t="s">
        <v>15</v>
      </c>
      <c r="E116" s="5" t="s">
        <v>16</v>
      </c>
      <c r="F116" s="6" t="s">
        <v>17</v>
      </c>
      <c r="G116" s="6" t="s">
        <v>84</v>
      </c>
      <c r="H116" s="7">
        <v>22313.05</v>
      </c>
      <c r="I116" s="7">
        <v>44.642171181625386</v>
      </c>
      <c r="J116"/>
      <c r="K116"/>
      <c r="N116" s="14"/>
    </row>
    <row r="117" spans="1:14" x14ac:dyDescent="0.25">
      <c r="A117" t="s">
        <v>13</v>
      </c>
      <c r="B117" s="1">
        <v>116</v>
      </c>
      <c r="C117" s="1" t="s">
        <v>14</v>
      </c>
      <c r="D117" s="9" t="s">
        <v>15</v>
      </c>
      <c r="E117" s="10" t="s">
        <v>16</v>
      </c>
      <c r="F117" s="10" t="s">
        <v>17</v>
      </c>
      <c r="G117" s="10" t="s">
        <v>85</v>
      </c>
      <c r="H117" s="11">
        <v>131645.65</v>
      </c>
      <c r="I117" s="7">
        <v>263.38611900284104</v>
      </c>
      <c r="J117"/>
      <c r="K117"/>
      <c r="N117" s="14"/>
    </row>
    <row r="118" spans="1:14" x14ac:dyDescent="0.25">
      <c r="A118" t="s">
        <v>13</v>
      </c>
      <c r="B118" s="1">
        <v>117</v>
      </c>
      <c r="C118" s="1" t="s">
        <v>14</v>
      </c>
      <c r="D118" s="5" t="s">
        <v>19</v>
      </c>
      <c r="E118" s="5" t="s">
        <v>20</v>
      </c>
      <c r="F118" s="6" t="s">
        <v>17</v>
      </c>
      <c r="G118" s="6" t="s">
        <v>85</v>
      </c>
      <c r="H118" s="12">
        <v>16311.5</v>
      </c>
      <c r="I118" s="7">
        <v>32.634748509463407</v>
      </c>
      <c r="J118"/>
      <c r="K118"/>
      <c r="N118" s="14"/>
    </row>
    <row r="119" spans="1:14" x14ac:dyDescent="0.25">
      <c r="A119" t="s">
        <v>13</v>
      </c>
      <c r="B119" s="1">
        <v>118</v>
      </c>
      <c r="C119" s="1" t="s">
        <v>14</v>
      </c>
      <c r="D119" s="9" t="s">
        <v>15</v>
      </c>
      <c r="E119" s="10" t="s">
        <v>16</v>
      </c>
      <c r="F119" s="10" t="s">
        <v>17</v>
      </c>
      <c r="G119" s="10" t="s">
        <v>86</v>
      </c>
      <c r="H119" s="12">
        <v>95833.25</v>
      </c>
      <c r="I119" s="7">
        <v>191.73552478892401</v>
      </c>
      <c r="J119"/>
      <c r="K119"/>
      <c r="N119" s="14"/>
    </row>
    <row r="120" spans="1:14" x14ac:dyDescent="0.25">
      <c r="A120" t="s">
        <v>13</v>
      </c>
      <c r="B120" s="1">
        <v>119</v>
      </c>
      <c r="C120" s="1" t="s">
        <v>14</v>
      </c>
      <c r="D120" s="5" t="s">
        <v>19</v>
      </c>
      <c r="E120" s="5" t="s">
        <v>20</v>
      </c>
      <c r="F120" s="6" t="s">
        <v>17</v>
      </c>
      <c r="G120" s="6" t="s">
        <v>86</v>
      </c>
      <c r="H120" s="7">
        <v>11868.55</v>
      </c>
      <c r="I120" s="7">
        <v>23.745648433436035</v>
      </c>
      <c r="J120"/>
      <c r="K120"/>
      <c r="N120" s="14"/>
    </row>
    <row r="121" spans="1:14" x14ac:dyDescent="0.25">
      <c r="A121" t="s">
        <v>13</v>
      </c>
      <c r="B121" s="1">
        <v>120</v>
      </c>
      <c r="C121" s="1" t="s">
        <v>14</v>
      </c>
      <c r="D121" s="9" t="s">
        <v>15</v>
      </c>
      <c r="E121" s="10" t="s">
        <v>16</v>
      </c>
      <c r="F121" s="10" t="s">
        <v>17</v>
      </c>
      <c r="G121" s="10" t="s">
        <v>87</v>
      </c>
      <c r="H121" s="11">
        <v>57227.649999999994</v>
      </c>
      <c r="I121" s="7">
        <v>114.49651874674882</v>
      </c>
      <c r="J121"/>
      <c r="K121"/>
      <c r="N121" s="14"/>
    </row>
    <row r="122" spans="1:14" x14ac:dyDescent="0.25">
      <c r="A122" t="s">
        <v>13</v>
      </c>
      <c r="B122" s="1">
        <v>121</v>
      </c>
      <c r="C122" s="1" t="s">
        <v>14</v>
      </c>
      <c r="D122" s="5" t="s">
        <v>19</v>
      </c>
      <c r="E122" s="5" t="s">
        <v>20</v>
      </c>
      <c r="F122" s="6" t="s">
        <v>17</v>
      </c>
      <c r="G122" s="6" t="s">
        <v>87</v>
      </c>
      <c r="H122" s="12">
        <v>7079.05</v>
      </c>
      <c r="I122" s="7">
        <v>14.163198751550558</v>
      </c>
      <c r="J122"/>
      <c r="K122"/>
      <c r="N122" s="14"/>
    </row>
    <row r="123" spans="1:14" x14ac:dyDescent="0.25">
      <c r="A123" t="s">
        <v>13</v>
      </c>
      <c r="B123" s="1">
        <v>122</v>
      </c>
      <c r="C123" s="1" t="s">
        <v>14</v>
      </c>
      <c r="D123" s="9" t="s">
        <v>88</v>
      </c>
      <c r="E123" s="10" t="s">
        <v>28</v>
      </c>
      <c r="F123" s="10" t="s">
        <v>17</v>
      </c>
      <c r="G123" s="10" t="s">
        <v>89</v>
      </c>
      <c r="H123" s="12">
        <v>3792.5499999999997</v>
      </c>
      <c r="I123" s="7">
        <v>7.5878316193829773</v>
      </c>
      <c r="J123"/>
      <c r="K123"/>
      <c r="N123" s="14"/>
    </row>
    <row r="124" spans="1:14" x14ac:dyDescent="0.25">
      <c r="A124" t="s">
        <v>13</v>
      </c>
      <c r="B124" s="1">
        <v>123</v>
      </c>
      <c r="C124" s="1" t="s">
        <v>14</v>
      </c>
      <c r="D124" s="5" t="s">
        <v>19</v>
      </c>
      <c r="E124" s="5" t="s">
        <v>20</v>
      </c>
      <c r="F124" s="6" t="s">
        <v>17</v>
      </c>
      <c r="G124" s="6" t="s">
        <v>89</v>
      </c>
      <c r="H124" s="7">
        <v>479.15</v>
      </c>
      <c r="I124" s="7">
        <v>0.95864511224040649</v>
      </c>
      <c r="J124"/>
      <c r="K124"/>
      <c r="N124" s="14"/>
    </row>
    <row r="125" spans="1:14" x14ac:dyDescent="0.25">
      <c r="A125" t="s">
        <v>13</v>
      </c>
      <c r="B125" s="1">
        <v>124</v>
      </c>
      <c r="C125" s="1" t="s">
        <v>14</v>
      </c>
      <c r="D125" s="9" t="s">
        <v>15</v>
      </c>
      <c r="E125" s="10" t="s">
        <v>16</v>
      </c>
      <c r="F125" s="10" t="s">
        <v>17</v>
      </c>
      <c r="G125" s="10" t="s">
        <v>90</v>
      </c>
      <c r="H125" s="11">
        <v>111494.9</v>
      </c>
      <c r="I125" s="7">
        <v>223.07010523788563</v>
      </c>
      <c r="J125"/>
      <c r="K125"/>
      <c r="N125" s="14"/>
    </row>
    <row r="126" spans="1:14" x14ac:dyDescent="0.25">
      <c r="A126" t="s">
        <v>13</v>
      </c>
      <c r="B126" s="1">
        <v>125</v>
      </c>
      <c r="C126" s="1" t="s">
        <v>14</v>
      </c>
      <c r="D126" s="5" t="s">
        <v>19</v>
      </c>
      <c r="E126" s="5" t="s">
        <v>20</v>
      </c>
      <c r="F126" s="6" t="s">
        <v>17</v>
      </c>
      <c r="G126" s="6" t="s">
        <v>90</v>
      </c>
      <c r="H126" s="12">
        <v>13811.55</v>
      </c>
      <c r="I126" s="7">
        <v>27.633047897243006</v>
      </c>
      <c r="J126"/>
      <c r="K126"/>
      <c r="N126" s="14"/>
    </row>
    <row r="127" spans="1:14" x14ac:dyDescent="0.25">
      <c r="A127" t="s">
        <v>13</v>
      </c>
      <c r="B127" s="1">
        <v>126</v>
      </c>
      <c r="C127" s="1" t="s">
        <v>14</v>
      </c>
      <c r="D127" s="9" t="s">
        <v>15</v>
      </c>
      <c r="E127" s="10" t="s">
        <v>16</v>
      </c>
      <c r="F127" s="10" t="s">
        <v>17</v>
      </c>
      <c r="G127" s="10" t="s">
        <v>91</v>
      </c>
      <c r="H127" s="12">
        <v>305076.90000000002</v>
      </c>
      <c r="I127" s="7">
        <v>610.37353447241014</v>
      </c>
      <c r="J127"/>
      <c r="K127"/>
      <c r="N127" s="14"/>
    </row>
    <row r="128" spans="1:14" x14ac:dyDescent="0.25">
      <c r="A128" t="s">
        <v>13</v>
      </c>
      <c r="B128" s="1">
        <v>127</v>
      </c>
      <c r="C128" s="1" t="s">
        <v>14</v>
      </c>
      <c r="D128" s="5" t="s">
        <v>19</v>
      </c>
      <c r="E128" s="5" t="s">
        <v>20</v>
      </c>
      <c r="F128" s="6" t="s">
        <v>17</v>
      </c>
      <c r="G128" s="6" t="s">
        <v>91</v>
      </c>
      <c r="H128" s="7">
        <v>38213.35</v>
      </c>
      <c r="I128" s="7">
        <v>76.454223520467366</v>
      </c>
      <c r="J128"/>
      <c r="K128"/>
      <c r="N128" s="14"/>
    </row>
    <row r="129" spans="1:15" x14ac:dyDescent="0.25">
      <c r="A129" t="s">
        <v>13</v>
      </c>
      <c r="B129" s="1">
        <v>128</v>
      </c>
      <c r="C129" s="1" t="s">
        <v>14</v>
      </c>
      <c r="D129" s="9" t="s">
        <v>15</v>
      </c>
      <c r="E129" s="10" t="s">
        <v>16</v>
      </c>
      <c r="F129" s="10" t="s">
        <v>17</v>
      </c>
      <c r="G129" s="10" t="s">
        <v>92</v>
      </c>
      <c r="H129" s="11">
        <v>56130.299999999996</v>
      </c>
      <c r="I129" s="7">
        <v>112.30102837021327</v>
      </c>
      <c r="J129"/>
      <c r="K129"/>
    </row>
    <row r="130" spans="1:15" x14ac:dyDescent="0.25">
      <c r="A130" t="s">
        <v>13</v>
      </c>
      <c r="B130" s="1">
        <v>129</v>
      </c>
      <c r="C130" s="1" t="s">
        <v>14</v>
      </c>
      <c r="D130" s="5" t="s">
        <v>19</v>
      </c>
      <c r="E130" s="5" t="s">
        <v>20</v>
      </c>
      <c r="F130" s="6" t="s">
        <v>17</v>
      </c>
      <c r="G130" s="6" t="s">
        <v>92</v>
      </c>
      <c r="H130" s="12">
        <v>6942.9</v>
      </c>
      <c r="I130" s="7">
        <v>13.890800688247769</v>
      </c>
      <c r="J130"/>
      <c r="K130"/>
    </row>
    <row r="131" spans="1:15" x14ac:dyDescent="0.25">
      <c r="A131" t="s">
        <v>13</v>
      </c>
      <c r="B131" s="1">
        <v>130</v>
      </c>
      <c r="C131" s="1" t="s">
        <v>14</v>
      </c>
      <c r="D131" s="9" t="s">
        <v>15</v>
      </c>
      <c r="E131" s="10" t="s">
        <v>16</v>
      </c>
      <c r="F131" s="10" t="s">
        <v>17</v>
      </c>
      <c r="G131" s="10" t="s">
        <v>93</v>
      </c>
      <c r="H131" s="11">
        <v>72590.05</v>
      </c>
      <c r="I131" s="7">
        <v>145.23238365811693</v>
      </c>
      <c r="J131"/>
      <c r="K131"/>
    </row>
    <row r="132" spans="1:15" x14ac:dyDescent="0.25">
      <c r="A132" t="s">
        <v>13</v>
      </c>
      <c r="B132" s="1">
        <v>131</v>
      </c>
      <c r="C132" s="1" t="s">
        <v>14</v>
      </c>
      <c r="D132" s="5" t="s">
        <v>19</v>
      </c>
      <c r="E132" s="5" t="s">
        <v>20</v>
      </c>
      <c r="F132" s="6" t="s">
        <v>17</v>
      </c>
      <c r="G132" s="6" t="s">
        <v>93</v>
      </c>
      <c r="H132" s="7">
        <v>8984.9500000000007</v>
      </c>
      <c r="I132" s="7">
        <v>17.976371493737748</v>
      </c>
      <c r="J132"/>
      <c r="K132"/>
    </row>
    <row r="133" spans="1:15" x14ac:dyDescent="0.25">
      <c r="A133" t="s">
        <v>13</v>
      </c>
      <c r="B133" s="1">
        <v>132</v>
      </c>
      <c r="C133" s="1" t="s">
        <v>14</v>
      </c>
      <c r="D133" s="9" t="s">
        <v>15</v>
      </c>
      <c r="E133" s="10" t="s">
        <v>16</v>
      </c>
      <c r="F133" s="10" t="s">
        <v>17</v>
      </c>
      <c r="G133" s="10" t="s">
        <v>94</v>
      </c>
      <c r="H133" s="12">
        <v>8599.5499999999993</v>
      </c>
      <c r="I133" s="7">
        <v>17.205293905806087</v>
      </c>
      <c r="J133"/>
      <c r="K133"/>
    </row>
    <row r="134" spans="1:15" x14ac:dyDescent="0.25">
      <c r="A134" t="s">
        <v>13</v>
      </c>
      <c r="B134" s="1">
        <v>133</v>
      </c>
      <c r="C134" s="1" t="s">
        <v>14</v>
      </c>
      <c r="D134" s="5" t="s">
        <v>15</v>
      </c>
      <c r="E134" s="5" t="s">
        <v>16</v>
      </c>
      <c r="F134" s="6" t="s">
        <v>17</v>
      </c>
      <c r="G134" s="6" t="s">
        <v>95</v>
      </c>
      <c r="H134" s="12">
        <v>22412.799999999999</v>
      </c>
      <c r="I134" s="7">
        <v>44.841743027489898</v>
      </c>
      <c r="J134"/>
      <c r="K134"/>
    </row>
    <row r="135" spans="1:15" x14ac:dyDescent="0.25">
      <c r="A135" t="s">
        <v>13</v>
      </c>
      <c r="B135" s="1">
        <v>134</v>
      </c>
      <c r="C135" s="1" t="s">
        <v>14</v>
      </c>
      <c r="D135" s="9" t="s">
        <v>19</v>
      </c>
      <c r="E135" s="10" t="s">
        <v>20</v>
      </c>
      <c r="F135" s="10" t="s">
        <v>17</v>
      </c>
      <c r="G135" s="10" t="s">
        <v>95</v>
      </c>
      <c r="H135" s="11">
        <v>2759.8</v>
      </c>
      <c r="I135" s="7">
        <v>5.5215877715977753</v>
      </c>
      <c r="J135"/>
      <c r="K135"/>
    </row>
    <row r="136" spans="1:15" x14ac:dyDescent="0.25">
      <c r="A136" t="s">
        <v>13</v>
      </c>
      <c r="B136" s="1">
        <v>135</v>
      </c>
      <c r="C136" s="1" t="s">
        <v>14</v>
      </c>
      <c r="D136" s="5" t="s">
        <v>15</v>
      </c>
      <c r="E136" s="5" t="s">
        <v>16</v>
      </c>
      <c r="F136" s="6" t="s">
        <v>17</v>
      </c>
      <c r="G136" s="6" t="s">
        <v>96</v>
      </c>
      <c r="H136" s="7">
        <v>42563.5</v>
      </c>
      <c r="I136" s="7">
        <v>85.157656756432317</v>
      </c>
      <c r="J136"/>
      <c r="K136"/>
    </row>
    <row r="137" spans="1:15" x14ac:dyDescent="0.25">
      <c r="A137" t="s">
        <v>13</v>
      </c>
      <c r="B137" s="1">
        <v>136</v>
      </c>
      <c r="C137" s="1" t="s">
        <v>14</v>
      </c>
      <c r="D137" s="9" t="s">
        <v>19</v>
      </c>
      <c r="E137" s="10" t="s">
        <v>20</v>
      </c>
      <c r="F137" s="10" t="s">
        <v>17</v>
      </c>
      <c r="G137" s="10" t="s">
        <v>96</v>
      </c>
      <c r="H137" s="12">
        <v>5259.75</v>
      </c>
      <c r="I137" s="7">
        <v>10.523288383818175</v>
      </c>
      <c r="J137"/>
      <c r="K137"/>
    </row>
    <row r="138" spans="1:15" x14ac:dyDescent="0.25">
      <c r="A138" t="s">
        <v>13</v>
      </c>
      <c r="B138" s="1">
        <v>137</v>
      </c>
      <c r="C138" s="1" t="s">
        <v>14</v>
      </c>
      <c r="D138" s="5" t="s">
        <v>15</v>
      </c>
      <c r="E138" s="5" t="s">
        <v>16</v>
      </c>
      <c r="F138" s="6" t="s">
        <v>17</v>
      </c>
      <c r="G138" s="6" t="s">
        <v>97</v>
      </c>
      <c r="H138" s="12">
        <v>183758</v>
      </c>
      <c r="I138" s="7">
        <v>367.64835340722658</v>
      </c>
      <c r="J138"/>
      <c r="K138"/>
    </row>
    <row r="139" spans="1:15" x14ac:dyDescent="0.25">
      <c r="A139" t="s">
        <v>13</v>
      </c>
      <c r="B139" s="1">
        <v>138</v>
      </c>
      <c r="C139" s="1" t="s">
        <v>14</v>
      </c>
      <c r="D139" s="9" t="s">
        <v>19</v>
      </c>
      <c r="E139" s="10" t="s">
        <v>20</v>
      </c>
      <c r="F139" s="10" t="s">
        <v>17</v>
      </c>
      <c r="G139" s="10" t="s">
        <v>97</v>
      </c>
      <c r="H139" s="11">
        <v>22829.65</v>
      </c>
      <c r="I139" s="7">
        <v>45.67574326757633</v>
      </c>
      <c r="J139"/>
      <c r="K139"/>
    </row>
    <row r="140" spans="1:15" x14ac:dyDescent="0.25">
      <c r="A140" t="s">
        <v>13</v>
      </c>
      <c r="B140" s="1">
        <v>139</v>
      </c>
      <c r="C140" s="1" t="s">
        <v>14</v>
      </c>
      <c r="D140" s="5" t="s">
        <v>15</v>
      </c>
      <c r="E140" s="5" t="s">
        <v>16</v>
      </c>
      <c r="F140" s="6" t="s">
        <v>17</v>
      </c>
      <c r="G140" s="6" t="s">
        <v>98</v>
      </c>
      <c r="H140" s="7">
        <v>223733</v>
      </c>
      <c r="I140" s="7">
        <v>447.62714577247812</v>
      </c>
      <c r="J140"/>
      <c r="K140"/>
    </row>
    <row r="141" spans="1:15" x14ac:dyDescent="0.25">
      <c r="A141" t="s">
        <v>13</v>
      </c>
      <c r="B141" s="1">
        <v>140</v>
      </c>
      <c r="C141" s="1" t="s">
        <v>14</v>
      </c>
      <c r="D141" s="9" t="s">
        <v>19</v>
      </c>
      <c r="E141" s="10" t="s">
        <v>20</v>
      </c>
      <c r="F141" s="10" t="s">
        <v>17</v>
      </c>
      <c r="G141" s="10" t="s">
        <v>98</v>
      </c>
      <c r="H141" s="12">
        <v>27879.85</v>
      </c>
      <c r="I141" s="7">
        <v>55.779780721059581</v>
      </c>
      <c r="J141"/>
      <c r="K141"/>
    </row>
    <row r="142" spans="1:15" x14ac:dyDescent="0.25">
      <c r="A142" t="s">
        <v>13</v>
      </c>
      <c r="B142" s="1">
        <v>141</v>
      </c>
      <c r="C142" s="1" t="s">
        <v>14</v>
      </c>
      <c r="D142" s="5" t="s">
        <v>15</v>
      </c>
      <c r="E142" s="5" t="s">
        <v>16</v>
      </c>
      <c r="F142" s="6" t="s">
        <v>17</v>
      </c>
      <c r="G142" s="6" t="s">
        <v>99</v>
      </c>
      <c r="H142" s="12">
        <v>30692.550000000003</v>
      </c>
      <c r="I142" s="7">
        <v>61.407206594373982</v>
      </c>
      <c r="J142"/>
      <c r="K142"/>
    </row>
    <row r="143" spans="1:15" x14ac:dyDescent="0.25">
      <c r="A143" t="s">
        <v>13</v>
      </c>
      <c r="B143" s="1">
        <v>142</v>
      </c>
      <c r="C143" s="1" t="s">
        <v>14</v>
      </c>
      <c r="D143" s="9" t="s">
        <v>19</v>
      </c>
      <c r="E143" s="10" t="s">
        <v>20</v>
      </c>
      <c r="F143" s="10" t="s">
        <v>17</v>
      </c>
      <c r="G143" s="10" t="s">
        <v>99</v>
      </c>
      <c r="H143" s="11">
        <v>3787</v>
      </c>
      <c r="I143" s="7">
        <v>7.5767276219438999</v>
      </c>
      <c r="J143"/>
      <c r="K143"/>
      <c r="L143" s="14"/>
      <c r="M143" s="14"/>
    </row>
    <row r="144" spans="1:15" x14ac:dyDescent="0.25">
      <c r="A144" t="s">
        <v>13</v>
      </c>
      <c r="B144" s="1">
        <v>143</v>
      </c>
      <c r="C144" s="1" t="s">
        <v>14</v>
      </c>
      <c r="D144" s="5" t="s">
        <v>15</v>
      </c>
      <c r="E144" s="5" t="s">
        <v>16</v>
      </c>
      <c r="F144" s="6" t="s">
        <v>17</v>
      </c>
      <c r="G144" s="6" t="s">
        <v>100</v>
      </c>
      <c r="H144" s="7">
        <v>40269.1</v>
      </c>
      <c r="I144" s="7">
        <v>80.567204193509667</v>
      </c>
      <c r="J144"/>
      <c r="K144"/>
      <c r="L144" s="15"/>
      <c r="M144" s="15"/>
      <c r="O144" s="13"/>
    </row>
    <row r="145" spans="1:15" x14ac:dyDescent="0.25">
      <c r="A145" t="s">
        <v>13</v>
      </c>
      <c r="B145" s="1">
        <v>144</v>
      </c>
      <c r="C145" s="1" t="s">
        <v>14</v>
      </c>
      <c r="D145" s="9" t="s">
        <v>19</v>
      </c>
      <c r="E145" s="10" t="s">
        <v>20</v>
      </c>
      <c r="F145" s="10" t="s">
        <v>17</v>
      </c>
      <c r="G145" s="10" t="s">
        <v>100</v>
      </c>
      <c r="H145" s="12">
        <v>4975.1000000000004</v>
      </c>
      <c r="I145" s="7">
        <v>9.9537833620103253</v>
      </c>
      <c r="J145"/>
      <c r="K145"/>
      <c r="L145" s="8"/>
      <c r="M145" s="8"/>
      <c r="N145" s="13"/>
    </row>
    <row r="146" spans="1:15" x14ac:dyDescent="0.25">
      <c r="A146" t="s">
        <v>13</v>
      </c>
      <c r="B146" s="1">
        <v>145</v>
      </c>
      <c r="C146" s="1" t="s">
        <v>14</v>
      </c>
      <c r="D146" s="5" t="s">
        <v>15</v>
      </c>
      <c r="E146" s="5" t="s">
        <v>16</v>
      </c>
      <c r="F146" s="6" t="s">
        <v>17</v>
      </c>
      <c r="G146" s="6" t="s">
        <v>101</v>
      </c>
      <c r="H146" s="12">
        <v>35979.65</v>
      </c>
      <c r="I146" s="7">
        <v>71.985214677283821</v>
      </c>
      <c r="J146"/>
      <c r="K146"/>
    </row>
    <row r="147" spans="1:15" x14ac:dyDescent="0.25">
      <c r="A147" t="s">
        <v>13</v>
      </c>
      <c r="B147" s="1">
        <v>146</v>
      </c>
      <c r="C147" s="1" t="s">
        <v>14</v>
      </c>
      <c r="D147" s="9" t="s">
        <v>19</v>
      </c>
      <c r="E147" s="10" t="s">
        <v>20</v>
      </c>
      <c r="F147" s="10" t="s">
        <v>17</v>
      </c>
      <c r="G147" s="10" t="s">
        <v>101</v>
      </c>
      <c r="H147" s="11">
        <v>4442.95</v>
      </c>
      <c r="I147" s="7">
        <v>8.8891000760273702</v>
      </c>
      <c r="J147"/>
      <c r="K147"/>
      <c r="O147" s="13"/>
    </row>
    <row r="148" spans="1:15" x14ac:dyDescent="0.25">
      <c r="A148" t="s">
        <v>13</v>
      </c>
      <c r="B148" s="1">
        <v>147</v>
      </c>
      <c r="C148" s="1" t="s">
        <v>14</v>
      </c>
      <c r="D148" s="5" t="s">
        <v>15</v>
      </c>
      <c r="E148" s="5" t="s">
        <v>16</v>
      </c>
      <c r="F148" s="6" t="s">
        <v>17</v>
      </c>
      <c r="G148" s="6" t="s">
        <v>102</v>
      </c>
      <c r="H148" s="7">
        <v>9817.85</v>
      </c>
      <c r="I148" s="7">
        <v>19.642771397703175</v>
      </c>
      <c r="J148"/>
      <c r="K148"/>
    </row>
    <row r="149" spans="1:15" x14ac:dyDescent="0.25">
      <c r="A149" t="s">
        <v>13</v>
      </c>
      <c r="B149" s="1">
        <v>148</v>
      </c>
      <c r="C149" s="1" t="s">
        <v>14</v>
      </c>
      <c r="D149" s="9" t="s">
        <v>15</v>
      </c>
      <c r="E149" s="10" t="s">
        <v>16</v>
      </c>
      <c r="F149" s="10" t="s">
        <v>17</v>
      </c>
      <c r="G149" s="10" t="s">
        <v>103</v>
      </c>
      <c r="H149" s="12">
        <v>101619.04999999999</v>
      </c>
      <c r="I149" s="7">
        <v>203.31129206514342</v>
      </c>
      <c r="J149"/>
      <c r="K149"/>
    </row>
    <row r="150" spans="1:15" x14ac:dyDescent="0.25">
      <c r="A150" t="s">
        <v>13</v>
      </c>
      <c r="B150" s="1">
        <v>149</v>
      </c>
      <c r="C150" s="1" t="s">
        <v>14</v>
      </c>
      <c r="D150" s="5" t="s">
        <v>19</v>
      </c>
      <c r="E150" s="5" t="s">
        <v>20</v>
      </c>
      <c r="F150" s="6" t="s">
        <v>17</v>
      </c>
      <c r="G150" s="6" t="s">
        <v>103</v>
      </c>
      <c r="H150" s="12">
        <v>12586.35</v>
      </c>
      <c r="I150" s="7">
        <v>25.181765435556802</v>
      </c>
      <c r="J150"/>
      <c r="K150"/>
    </row>
    <row r="151" spans="1:15" x14ac:dyDescent="0.25">
      <c r="A151" t="s">
        <v>13</v>
      </c>
      <c r="B151" s="1">
        <v>150</v>
      </c>
      <c r="C151" s="1" t="s">
        <v>14</v>
      </c>
      <c r="D151" s="9" t="s">
        <v>15</v>
      </c>
      <c r="E151" s="10" t="s">
        <v>16</v>
      </c>
      <c r="F151" s="10" t="s">
        <v>17</v>
      </c>
      <c r="G151" s="10" t="s">
        <v>104</v>
      </c>
      <c r="H151" s="11">
        <v>32488.199999999997</v>
      </c>
      <c r="I151" s="7">
        <v>64.999799927974067</v>
      </c>
      <c r="J151"/>
      <c r="K151"/>
    </row>
    <row r="152" spans="1:15" x14ac:dyDescent="0.25">
      <c r="A152" t="s">
        <v>13</v>
      </c>
      <c r="B152" s="1">
        <v>151</v>
      </c>
      <c r="C152" s="1" t="s">
        <v>14</v>
      </c>
      <c r="D152" s="5" t="s">
        <v>19</v>
      </c>
      <c r="E152" s="5" t="s">
        <v>20</v>
      </c>
      <c r="F152" s="6" t="s">
        <v>17</v>
      </c>
      <c r="G152" s="6" t="s">
        <v>104</v>
      </c>
      <c r="H152" s="7">
        <v>4009.75</v>
      </c>
      <c r="I152" s="7">
        <v>8.0223880597014929</v>
      </c>
      <c r="J152"/>
      <c r="K152"/>
    </row>
    <row r="153" spans="1:15" x14ac:dyDescent="0.25">
      <c r="A153" t="s">
        <v>13</v>
      </c>
      <c r="B153" s="1">
        <v>152</v>
      </c>
      <c r="C153" s="1" t="s">
        <v>14</v>
      </c>
      <c r="D153" s="9" t="s">
        <v>15</v>
      </c>
      <c r="E153" s="10" t="s">
        <v>16</v>
      </c>
      <c r="F153" s="10" t="s">
        <v>17</v>
      </c>
      <c r="G153" s="10" t="s">
        <v>105</v>
      </c>
      <c r="H153" s="12">
        <v>76931.399999999994</v>
      </c>
      <c r="I153" s="7">
        <v>153.91821055580007</v>
      </c>
      <c r="J153"/>
      <c r="K153"/>
    </row>
    <row r="154" spans="1:15" x14ac:dyDescent="0.25">
      <c r="A154" t="s">
        <v>13</v>
      </c>
      <c r="B154" s="1">
        <v>153</v>
      </c>
      <c r="C154" s="1" t="s">
        <v>14</v>
      </c>
      <c r="D154" s="5" t="s">
        <v>19</v>
      </c>
      <c r="E154" s="5" t="s">
        <v>20</v>
      </c>
      <c r="F154" s="6" t="s">
        <v>17</v>
      </c>
      <c r="G154" s="6" t="s">
        <v>105</v>
      </c>
      <c r="H154" s="12">
        <v>9556.6</v>
      </c>
      <c r="I154" s="7">
        <v>19.120083229962788</v>
      </c>
      <c r="J154"/>
      <c r="K154"/>
    </row>
    <row r="155" spans="1:15" x14ac:dyDescent="0.25">
      <c r="A155" t="s">
        <v>13</v>
      </c>
      <c r="B155" s="1">
        <v>154</v>
      </c>
      <c r="C155" s="1" t="s">
        <v>14</v>
      </c>
      <c r="D155" s="9" t="s">
        <v>19</v>
      </c>
      <c r="E155" s="10" t="s">
        <v>106</v>
      </c>
      <c r="F155" s="10" t="s">
        <v>107</v>
      </c>
      <c r="G155" s="10" t="s">
        <v>108</v>
      </c>
      <c r="H155" s="11"/>
      <c r="I155" s="7"/>
      <c r="J155" s="16">
        <v>12071711.550000006</v>
      </c>
      <c r="K155" s="16">
        <v>24152.117862430456</v>
      </c>
    </row>
    <row r="161" spans="10:10" x14ac:dyDescent="0.25">
      <c r="J161"/>
    </row>
    <row r="162" spans="10:10" x14ac:dyDescent="0.25">
      <c r="J162"/>
    </row>
    <row r="163" spans="10:10" x14ac:dyDescent="0.25">
      <c r="J163"/>
    </row>
    <row r="164" spans="10:10" x14ac:dyDescent="0.25">
      <c r="J164"/>
    </row>
    <row r="165" spans="10:10" x14ac:dyDescent="0.25">
      <c r="J165"/>
    </row>
    <row r="166" spans="10:10" x14ac:dyDescent="0.25">
      <c r="J166"/>
    </row>
  </sheetData>
  <autoFilter ref="A1:K155" xr:uid="{00000000-0009-0000-0000-000001000000}"/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9F37-01F4-4048-9716-2D6D126C1D76}">
  <sheetPr>
    <tabColor theme="5" tint="-0.499984740745262"/>
    <pageSetUpPr fitToPage="1"/>
  </sheetPr>
  <dimension ref="A1:L30"/>
  <sheetViews>
    <sheetView workbookViewId="0">
      <selection activeCell="G14" sqref="G14"/>
    </sheetView>
  </sheetViews>
  <sheetFormatPr defaultColWidth="11.42578125" defaultRowHeight="15" x14ac:dyDescent="0.25"/>
  <cols>
    <col min="2" max="2" width="11.42578125" style="1"/>
    <col min="3" max="3" width="4.42578125" customWidth="1"/>
    <col min="4" max="4" width="14" customWidth="1"/>
    <col min="5" max="5" width="15.28515625" customWidth="1"/>
    <col min="6" max="6" width="15.7109375" customWidth="1"/>
    <col min="7" max="7" width="55.42578125" bestFit="1" customWidth="1"/>
    <col min="8" max="8" width="14.140625" style="1" bestFit="1" customWidth="1"/>
    <col min="9" max="9" width="13.140625" bestFit="1" customWidth="1"/>
    <col min="10" max="10" width="14.7109375" bestFit="1" customWidth="1"/>
    <col min="11" max="11" width="15" bestFit="1" customWidth="1"/>
    <col min="12" max="12" width="13.140625" bestFit="1" customWidth="1"/>
  </cols>
  <sheetData>
    <row r="1" spans="1:12" ht="15.75" thickBot="1" x14ac:dyDescent="0.3">
      <c r="A1" s="29" t="s">
        <v>0</v>
      </c>
      <c r="B1" s="20" t="s">
        <v>1</v>
      </c>
      <c r="C1" s="21" t="s">
        <v>185</v>
      </c>
      <c r="D1" s="21" t="s">
        <v>3</v>
      </c>
      <c r="E1" s="21" t="s">
        <v>4</v>
      </c>
      <c r="F1" s="21" t="s">
        <v>5</v>
      </c>
      <c r="G1" s="20" t="s">
        <v>6</v>
      </c>
      <c r="H1" s="21" t="s">
        <v>7</v>
      </c>
      <c r="I1" s="21" t="s">
        <v>8</v>
      </c>
      <c r="J1" s="21" t="s">
        <v>9</v>
      </c>
      <c r="K1" s="22" t="s">
        <v>10</v>
      </c>
    </row>
    <row r="2" spans="1:12" x14ac:dyDescent="0.25">
      <c r="B2" s="1">
        <v>1</v>
      </c>
      <c r="C2" t="s">
        <v>14</v>
      </c>
      <c r="D2" s="5" t="s">
        <v>186</v>
      </c>
      <c r="E2" s="5" t="s">
        <v>187</v>
      </c>
      <c r="F2" s="6" t="s">
        <v>17</v>
      </c>
      <c r="G2" s="6" t="s">
        <v>212</v>
      </c>
      <c r="H2" s="37">
        <v>119139.2</v>
      </c>
      <c r="I2" s="7">
        <v>238.36421111600177</v>
      </c>
    </row>
    <row r="3" spans="1:12" x14ac:dyDescent="0.25">
      <c r="B3" s="1">
        <v>2</v>
      </c>
      <c r="C3" t="s">
        <v>14</v>
      </c>
      <c r="D3" s="5" t="s">
        <v>188</v>
      </c>
      <c r="E3" s="5" t="s">
        <v>187</v>
      </c>
      <c r="F3" s="6" t="s">
        <v>17</v>
      </c>
      <c r="G3" s="6" t="s">
        <v>213</v>
      </c>
      <c r="H3" s="37">
        <v>152115.79999999999</v>
      </c>
      <c r="I3" s="7">
        <v>304.34116281861469</v>
      </c>
      <c r="L3" s="8"/>
    </row>
    <row r="4" spans="1:12" x14ac:dyDescent="0.25">
      <c r="B4" s="1">
        <v>3</v>
      </c>
      <c r="C4" t="s">
        <v>14</v>
      </c>
      <c r="D4" s="5" t="s">
        <v>189</v>
      </c>
      <c r="E4" s="5" t="s">
        <v>187</v>
      </c>
      <c r="F4" s="6" t="s">
        <v>17</v>
      </c>
      <c r="G4" s="6" t="s">
        <v>214</v>
      </c>
      <c r="H4" s="37">
        <v>227334.8</v>
      </c>
      <c r="I4" s="7">
        <v>454.83334000240086</v>
      </c>
      <c r="L4" s="8"/>
    </row>
    <row r="5" spans="1:12" x14ac:dyDescent="0.25">
      <c r="B5" s="1">
        <v>4</v>
      </c>
      <c r="C5" t="s">
        <v>14</v>
      </c>
      <c r="D5" s="5" t="s">
        <v>190</v>
      </c>
      <c r="E5" s="5" t="s">
        <v>187</v>
      </c>
      <c r="F5" s="6" t="s">
        <v>17</v>
      </c>
      <c r="G5" s="6" t="s">
        <v>215</v>
      </c>
      <c r="H5" s="37">
        <v>228753.95</v>
      </c>
      <c r="I5" s="7">
        <v>457.67266215837702</v>
      </c>
      <c r="L5" s="8"/>
    </row>
    <row r="6" spans="1:12" x14ac:dyDescent="0.25">
      <c r="B6" s="1">
        <v>5</v>
      </c>
      <c r="C6" t="s">
        <v>14</v>
      </c>
      <c r="D6" s="5" t="s">
        <v>191</v>
      </c>
      <c r="E6" s="5" t="s">
        <v>187</v>
      </c>
      <c r="F6" s="6" t="s">
        <v>17</v>
      </c>
      <c r="G6" s="6" t="s">
        <v>216</v>
      </c>
      <c r="H6" s="37">
        <v>148600.04999999999</v>
      </c>
      <c r="I6" s="7">
        <v>297.30713056700409</v>
      </c>
      <c r="L6" s="8"/>
    </row>
    <row r="7" spans="1:12" x14ac:dyDescent="0.25">
      <c r="B7" s="1">
        <v>6</v>
      </c>
      <c r="C7" t="s">
        <v>14</v>
      </c>
      <c r="D7" s="5" t="s">
        <v>192</v>
      </c>
      <c r="E7" s="5" t="s">
        <v>187</v>
      </c>
      <c r="F7" s="6" t="s">
        <v>17</v>
      </c>
      <c r="G7" s="6" t="s">
        <v>217</v>
      </c>
      <c r="H7" s="37">
        <v>321076.25</v>
      </c>
      <c r="I7" s="7">
        <v>642.38375815293512</v>
      </c>
      <c r="L7" s="8"/>
    </row>
    <row r="8" spans="1:12" x14ac:dyDescent="0.25">
      <c r="B8" s="1">
        <v>7</v>
      </c>
      <c r="C8" t="s">
        <v>14</v>
      </c>
      <c r="D8" s="5" t="s">
        <v>193</v>
      </c>
      <c r="E8" s="5" t="s">
        <v>187</v>
      </c>
      <c r="F8" s="6" t="s">
        <v>17</v>
      </c>
      <c r="G8" s="6" t="s">
        <v>218</v>
      </c>
      <c r="H8" s="37">
        <v>106244.1</v>
      </c>
      <c r="I8" s="7">
        <v>212.56472330038815</v>
      </c>
      <c r="L8" s="8"/>
    </row>
    <row r="9" spans="1:12" x14ac:dyDescent="0.25">
      <c r="B9" s="1">
        <v>8</v>
      </c>
      <c r="C9" t="s">
        <v>14</v>
      </c>
      <c r="D9" s="5" t="s">
        <v>194</v>
      </c>
      <c r="E9" s="5" t="s">
        <v>187</v>
      </c>
      <c r="F9" s="6" t="s">
        <v>17</v>
      </c>
      <c r="G9" s="6" t="s">
        <v>219</v>
      </c>
      <c r="H9" s="37">
        <v>4510.7</v>
      </c>
      <c r="I9" s="7">
        <v>9.0246488735944936</v>
      </c>
      <c r="L9" s="8"/>
    </row>
    <row r="10" spans="1:12" x14ac:dyDescent="0.25">
      <c r="B10" s="1">
        <v>9</v>
      </c>
      <c r="C10" t="s">
        <v>14</v>
      </c>
      <c r="D10" s="5" t="s">
        <v>195</v>
      </c>
      <c r="E10" s="5" t="s">
        <v>187</v>
      </c>
      <c r="F10" s="6" t="s">
        <v>17</v>
      </c>
      <c r="G10" s="6" t="s">
        <v>220</v>
      </c>
      <c r="H10" s="37">
        <v>85163.199999999997</v>
      </c>
      <c r="I10" s="7">
        <v>170.38773958625106</v>
      </c>
      <c r="L10" s="8"/>
    </row>
    <row r="11" spans="1:12" x14ac:dyDescent="0.25">
      <c r="B11" s="1">
        <v>10</v>
      </c>
      <c r="C11" t="s">
        <v>14</v>
      </c>
      <c r="D11" s="5" t="s">
        <v>196</v>
      </c>
      <c r="E11" s="5" t="s">
        <v>187</v>
      </c>
      <c r="F11" s="6" t="s">
        <v>17</v>
      </c>
      <c r="G11" s="6" t="s">
        <v>221</v>
      </c>
      <c r="H11" s="37">
        <v>244457.05</v>
      </c>
      <c r="I11" s="7">
        <v>489.09017246208634</v>
      </c>
      <c r="L11" s="8"/>
    </row>
    <row r="12" spans="1:12" x14ac:dyDescent="0.25">
      <c r="B12" s="1">
        <v>11</v>
      </c>
      <c r="C12" t="s">
        <v>14</v>
      </c>
      <c r="D12" s="5" t="s">
        <v>197</v>
      </c>
      <c r="E12" s="5" t="s">
        <v>187</v>
      </c>
      <c r="F12" s="6" t="s">
        <v>17</v>
      </c>
      <c r="G12" s="6" t="s">
        <v>222</v>
      </c>
      <c r="H12" s="37">
        <v>207119.55</v>
      </c>
      <c r="I12" s="7">
        <v>414.38827978072106</v>
      </c>
      <c r="L12" s="8"/>
    </row>
    <row r="13" spans="1:12" x14ac:dyDescent="0.25">
      <c r="B13" s="1">
        <v>12</v>
      </c>
      <c r="C13" t="s">
        <v>14</v>
      </c>
      <c r="D13" s="5" t="s">
        <v>198</v>
      </c>
      <c r="E13" s="5" t="s">
        <v>187</v>
      </c>
      <c r="F13" s="6" t="s">
        <v>17</v>
      </c>
      <c r="G13" s="6" t="s">
        <v>223</v>
      </c>
      <c r="H13" s="37">
        <v>144967.15</v>
      </c>
      <c r="I13" s="7">
        <v>290.03871393701729</v>
      </c>
      <c r="L13" s="8"/>
    </row>
    <row r="14" spans="1:12" x14ac:dyDescent="0.25">
      <c r="B14" s="1">
        <v>13</v>
      </c>
      <c r="C14" t="s">
        <v>14</v>
      </c>
      <c r="D14" s="5" t="s">
        <v>199</v>
      </c>
      <c r="E14" s="5" t="s">
        <v>187</v>
      </c>
      <c r="F14" s="6" t="s">
        <v>17</v>
      </c>
      <c r="G14" s="6" t="s">
        <v>224</v>
      </c>
      <c r="H14" s="37">
        <v>21563.45</v>
      </c>
      <c r="I14" s="7">
        <v>43.142431275259092</v>
      </c>
      <c r="L14" s="8"/>
    </row>
    <row r="15" spans="1:12" x14ac:dyDescent="0.25">
      <c r="B15" s="1">
        <v>14</v>
      </c>
      <c r="C15" t="s">
        <v>14</v>
      </c>
      <c r="D15" s="5" t="s">
        <v>200</v>
      </c>
      <c r="E15" s="5" t="s">
        <v>187</v>
      </c>
      <c r="F15" s="6" t="s">
        <v>17</v>
      </c>
      <c r="G15" s="6" t="s">
        <v>225</v>
      </c>
      <c r="H15" s="37">
        <v>275478.2</v>
      </c>
      <c r="I15" s="7">
        <v>551.15481573366412</v>
      </c>
      <c r="L15" s="8"/>
    </row>
    <row r="16" spans="1:12" x14ac:dyDescent="0.25">
      <c r="B16" s="1">
        <v>15</v>
      </c>
      <c r="C16" t="s">
        <v>14</v>
      </c>
      <c r="D16" s="5" t="s">
        <v>201</v>
      </c>
      <c r="E16" s="5" t="s">
        <v>187</v>
      </c>
      <c r="F16" s="6" t="s">
        <v>17</v>
      </c>
      <c r="G16" s="6" t="s">
        <v>226</v>
      </c>
      <c r="H16" s="37">
        <v>202921.8</v>
      </c>
      <c r="I16" s="7">
        <v>405.98975631227239</v>
      </c>
      <c r="L16" s="8"/>
    </row>
    <row r="17" spans="2:12" x14ac:dyDescent="0.25">
      <c r="B17" s="1">
        <v>16</v>
      </c>
      <c r="C17" t="s">
        <v>14</v>
      </c>
      <c r="D17" s="5" t="s">
        <v>202</v>
      </c>
      <c r="E17" s="5" t="s">
        <v>187</v>
      </c>
      <c r="F17" s="6" t="s">
        <v>17</v>
      </c>
      <c r="G17" s="6" t="s">
        <v>227</v>
      </c>
      <c r="H17" s="37">
        <v>53878.400000000001</v>
      </c>
      <c r="I17" s="7">
        <v>107.7956064183106</v>
      </c>
      <c r="L17" s="8"/>
    </row>
    <row r="18" spans="2:12" x14ac:dyDescent="0.25">
      <c r="B18" s="1">
        <v>17</v>
      </c>
      <c r="C18" t="s">
        <v>14</v>
      </c>
      <c r="D18" s="5" t="s">
        <v>203</v>
      </c>
      <c r="E18" s="5" t="s">
        <v>187</v>
      </c>
      <c r="F18" s="6" t="s">
        <v>17</v>
      </c>
      <c r="G18" s="6" t="s">
        <v>228</v>
      </c>
      <c r="H18" s="37">
        <v>107926</v>
      </c>
      <c r="I18" s="7">
        <v>215.92973470449363</v>
      </c>
      <c r="L18" s="8"/>
    </row>
    <row r="19" spans="2:12" x14ac:dyDescent="0.25">
      <c r="B19" s="1">
        <v>18</v>
      </c>
      <c r="C19" t="s">
        <v>14</v>
      </c>
      <c r="D19" s="5" t="s">
        <v>204</v>
      </c>
      <c r="E19" s="5" t="s">
        <v>187</v>
      </c>
      <c r="F19" s="6" t="s">
        <v>17</v>
      </c>
      <c r="G19" s="6" t="s">
        <v>229</v>
      </c>
      <c r="H19" s="37">
        <v>392993.35</v>
      </c>
      <c r="I19" s="7">
        <v>786.26975711256046</v>
      </c>
      <c r="L19" s="8"/>
    </row>
    <row r="20" spans="2:12" x14ac:dyDescent="0.25">
      <c r="B20" s="1">
        <v>19</v>
      </c>
      <c r="C20" t="s">
        <v>14</v>
      </c>
      <c r="D20" s="5" t="s">
        <v>205</v>
      </c>
      <c r="E20" s="5" t="s">
        <v>187</v>
      </c>
      <c r="F20" s="6" t="s">
        <v>17</v>
      </c>
      <c r="G20" s="6" t="s">
        <v>230</v>
      </c>
      <c r="H20" s="37">
        <v>80005.2</v>
      </c>
      <c r="I20" s="7">
        <v>160.06802448881598</v>
      </c>
      <c r="L20" s="8"/>
    </row>
    <row r="21" spans="2:12" x14ac:dyDescent="0.25">
      <c r="B21" s="1">
        <v>20</v>
      </c>
      <c r="C21" t="s">
        <v>14</v>
      </c>
      <c r="D21" s="5" t="s">
        <v>206</v>
      </c>
      <c r="E21" s="5" t="s">
        <v>187</v>
      </c>
      <c r="F21" s="6" t="s">
        <v>17</v>
      </c>
      <c r="G21" s="6" t="s">
        <v>231</v>
      </c>
      <c r="H21" s="37">
        <v>63745.95</v>
      </c>
      <c r="I21" s="7">
        <v>127.53781361290064</v>
      </c>
      <c r="L21" s="8"/>
    </row>
    <row r="22" spans="2:12" x14ac:dyDescent="0.25">
      <c r="B22" s="1">
        <v>21</v>
      </c>
      <c r="C22" t="s">
        <v>14</v>
      </c>
      <c r="D22" s="5" t="s">
        <v>207</v>
      </c>
      <c r="E22" s="5" t="s">
        <v>187</v>
      </c>
      <c r="F22" s="6" t="s">
        <v>17</v>
      </c>
      <c r="G22" s="6" t="s">
        <v>232</v>
      </c>
      <c r="H22" s="37">
        <v>101534.5</v>
      </c>
      <c r="I22" s="7">
        <v>203.14213116722021</v>
      </c>
      <c r="L22" s="8"/>
    </row>
    <row r="23" spans="2:12" x14ac:dyDescent="0.25">
      <c r="B23" s="1">
        <v>22</v>
      </c>
      <c r="C23" t="s">
        <v>14</v>
      </c>
      <c r="D23" s="5" t="s">
        <v>208</v>
      </c>
      <c r="E23" s="5" t="s">
        <v>187</v>
      </c>
      <c r="F23" s="6" t="s">
        <v>17</v>
      </c>
      <c r="G23" s="6" t="s">
        <v>233</v>
      </c>
      <c r="H23" s="37">
        <v>429244.65</v>
      </c>
      <c r="I23" s="7">
        <v>858.79846744828149</v>
      </c>
      <c r="L23" s="8"/>
    </row>
    <row r="24" spans="2:12" x14ac:dyDescent="0.25">
      <c r="B24" s="1">
        <v>23</v>
      </c>
      <c r="C24" t="s">
        <v>14</v>
      </c>
      <c r="D24" s="5" t="s">
        <v>209</v>
      </c>
      <c r="E24" s="5" t="s">
        <v>187</v>
      </c>
      <c r="F24" s="6" t="s">
        <v>17</v>
      </c>
      <c r="G24" s="6" t="s">
        <v>234</v>
      </c>
      <c r="H24" s="37">
        <v>110168.65</v>
      </c>
      <c r="I24" s="7">
        <v>220.41664999399782</v>
      </c>
      <c r="L24" s="8"/>
    </row>
    <row r="25" spans="2:12" x14ac:dyDescent="0.25">
      <c r="B25" s="1">
        <v>24</v>
      </c>
      <c r="C25" t="s">
        <v>14</v>
      </c>
      <c r="D25" s="5" t="s">
        <v>210</v>
      </c>
      <c r="E25" s="5" t="s">
        <v>187</v>
      </c>
      <c r="F25" s="6" t="s">
        <v>17</v>
      </c>
      <c r="G25" s="6" t="s">
        <v>235</v>
      </c>
      <c r="H25" s="37">
        <v>48496.05</v>
      </c>
      <c r="I25" s="7">
        <v>97.027029730703063</v>
      </c>
      <c r="L25" s="8"/>
    </row>
    <row r="26" spans="2:12" x14ac:dyDescent="0.25">
      <c r="B26" s="1">
        <v>25</v>
      </c>
      <c r="C26" t="s">
        <v>14</v>
      </c>
      <c r="D26" s="5" t="s">
        <v>194</v>
      </c>
      <c r="E26" s="5" t="s">
        <v>187</v>
      </c>
      <c r="F26" s="6" t="s">
        <v>17</v>
      </c>
      <c r="G26" s="6" t="s">
        <v>236</v>
      </c>
      <c r="H26" s="37">
        <v>38292.050000000003</v>
      </c>
      <c r="I26" s="7">
        <v>76.611680204873764</v>
      </c>
      <c r="L26" s="8"/>
    </row>
    <row r="27" spans="2:12" x14ac:dyDescent="0.25">
      <c r="B27" s="1">
        <v>26</v>
      </c>
      <c r="C27" t="s">
        <v>14</v>
      </c>
      <c r="D27" s="5" t="s">
        <v>211</v>
      </c>
      <c r="E27" s="5" t="s">
        <v>187</v>
      </c>
      <c r="F27" s="6" t="s">
        <v>17</v>
      </c>
      <c r="G27" s="6" t="s">
        <v>237</v>
      </c>
      <c r="H27" s="37">
        <v>340231.05</v>
      </c>
      <c r="I27" s="7">
        <v>680.70715457564722</v>
      </c>
      <c r="L27" s="8"/>
    </row>
    <row r="28" spans="2:12" x14ac:dyDescent="0.25">
      <c r="D28" s="34"/>
      <c r="E28" s="34"/>
      <c r="F28" s="35"/>
      <c r="G28" s="35"/>
      <c r="H28" s="36"/>
      <c r="I28" s="16"/>
      <c r="L28" s="8"/>
    </row>
    <row r="29" spans="2:12" ht="15.75" thickBot="1" x14ac:dyDescent="0.3">
      <c r="B29" s="30">
        <v>27</v>
      </c>
      <c r="C29" s="31" t="s">
        <v>14</v>
      </c>
      <c r="D29" s="31" t="s">
        <v>19</v>
      </c>
      <c r="E29" s="31" t="s">
        <v>106</v>
      </c>
      <c r="F29" s="31" t="s">
        <v>107</v>
      </c>
      <c r="G29" s="31" t="s">
        <v>238</v>
      </c>
      <c r="H29" s="32"/>
      <c r="I29" s="32"/>
      <c r="J29" s="33">
        <v>4255961.0999999996</v>
      </c>
      <c r="K29" s="33">
        <v>8514.9875955343923</v>
      </c>
      <c r="L29" s="8"/>
    </row>
    <row r="30" spans="2:12" ht="15.75" thickTop="1" x14ac:dyDescent="0.25"/>
  </sheetData>
  <autoFilter ref="B1:K27" xr:uid="{00000000-0001-0000-0100-000000000000}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28AE-196C-4025-95CD-A2360DE90089}">
  <sheetPr>
    <tabColor rgb="FF996600"/>
  </sheetPr>
  <dimension ref="C1:N26"/>
  <sheetViews>
    <sheetView tabSelected="1" workbookViewId="0">
      <selection activeCell="T26" sqref="T26"/>
    </sheetView>
  </sheetViews>
  <sheetFormatPr defaultRowHeight="15" x14ac:dyDescent="0.25"/>
  <cols>
    <col min="3" max="3" width="15" bestFit="1" customWidth="1"/>
    <col min="7" max="7" width="10.5703125" bestFit="1" customWidth="1"/>
    <col min="13" max="13" width="10.140625" bestFit="1" customWidth="1"/>
  </cols>
  <sheetData>
    <row r="1" spans="3:14" ht="15.75" thickBot="1" x14ac:dyDescent="0.3"/>
    <row r="2" spans="3:14" x14ac:dyDescent="0.25">
      <c r="C2" s="108" t="s">
        <v>286</v>
      </c>
      <c r="D2" s="109" t="s">
        <v>287</v>
      </c>
      <c r="M2" t="s">
        <v>287</v>
      </c>
      <c r="N2" s="8"/>
    </row>
    <row r="3" spans="3:14" ht="15.75" thickBot="1" x14ac:dyDescent="0.3">
      <c r="C3" s="110" t="s">
        <v>16</v>
      </c>
      <c r="D3" s="111" t="s">
        <v>288</v>
      </c>
      <c r="M3" t="s">
        <v>288</v>
      </c>
      <c r="N3" s="8"/>
    </row>
    <row r="4" spans="3:14" ht="15.75" thickBot="1" x14ac:dyDescent="0.3">
      <c r="M4" s="115" t="s">
        <v>289</v>
      </c>
      <c r="N4" s="116">
        <f>+N2-N3</f>
        <v>0</v>
      </c>
    </row>
    <row r="8" spans="3:14" ht="15.75" thickBot="1" x14ac:dyDescent="0.3"/>
    <row r="9" spans="3:14" ht="15.75" thickBot="1" x14ac:dyDescent="0.3">
      <c r="C9" s="112" t="s">
        <v>286</v>
      </c>
      <c r="D9" s="113" t="s">
        <v>287</v>
      </c>
      <c r="G9">
        <f>2960.16-983.66</f>
        <v>1976.5</v>
      </c>
    </row>
    <row r="25" spans="3:7" ht="15.75" thickBot="1" x14ac:dyDescent="0.3"/>
    <row r="26" spans="3:7" ht="15.75" thickBot="1" x14ac:dyDescent="0.3">
      <c r="C26" s="112" t="s">
        <v>16</v>
      </c>
      <c r="D26" s="113" t="s">
        <v>288</v>
      </c>
      <c r="G26" s="114">
        <v>19965.02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C10F-32CF-43C5-AE36-2E4283E4DDAE}">
  <sheetPr>
    <tabColor rgb="FF996600"/>
    <outlinePr summaryBelow="0" summaryRight="0"/>
    <pageSetUpPr autoPageBreaks="0"/>
  </sheetPr>
  <dimension ref="A1:L91"/>
  <sheetViews>
    <sheetView showOutlineSymbols="0" topLeftCell="A58" workbookViewId="0">
      <selection activeCell="D93" sqref="D93"/>
    </sheetView>
  </sheetViews>
  <sheetFormatPr defaultRowHeight="12.75" customHeight="1" x14ac:dyDescent="0.25"/>
  <cols>
    <col min="1" max="1" width="34.28515625" style="77" customWidth="1"/>
    <col min="2" max="2" width="16.28515625" style="77" bestFit="1" customWidth="1"/>
    <col min="3" max="3" width="13.85546875" style="77" bestFit="1" customWidth="1"/>
    <col min="4" max="4" width="107.85546875" style="77" customWidth="1"/>
    <col min="5" max="5" width="26.42578125" style="77" bestFit="1" customWidth="1"/>
    <col min="6" max="6" width="6.85546875" style="77" customWidth="1"/>
    <col min="7" max="7" width="13.85546875" style="77" bestFit="1" customWidth="1"/>
    <col min="8" max="8" width="12.42578125" style="77" bestFit="1" customWidth="1"/>
    <col min="9" max="9" width="12.85546875" style="77" bestFit="1" customWidth="1"/>
    <col min="10" max="10" width="10.140625" style="77" bestFit="1" customWidth="1"/>
    <col min="11" max="11" width="6.85546875" style="77" customWidth="1"/>
    <col min="12" max="12" width="10.140625" style="77" bestFit="1" customWidth="1"/>
    <col min="13" max="256" width="6.85546875" style="77" customWidth="1"/>
    <col min="257" max="257" width="34.28515625" style="77" customWidth="1"/>
    <col min="258" max="258" width="16.28515625" style="77" bestFit="1" customWidth="1"/>
    <col min="259" max="259" width="13.85546875" style="77" bestFit="1" customWidth="1"/>
    <col min="260" max="260" width="65.5703125" style="77" customWidth="1"/>
    <col min="261" max="261" width="26.42578125" style="77" bestFit="1" customWidth="1"/>
    <col min="262" max="262" width="6.85546875" style="77" customWidth="1"/>
    <col min="263" max="263" width="13.85546875" style="77" bestFit="1" customWidth="1"/>
    <col min="264" max="264" width="12.42578125" style="77" bestFit="1" customWidth="1"/>
    <col min="265" max="265" width="12.85546875" style="77" bestFit="1" customWidth="1"/>
    <col min="266" max="266" width="10.140625" style="77" bestFit="1" customWidth="1"/>
    <col min="267" max="267" width="6.85546875" style="77" customWidth="1"/>
    <col min="268" max="268" width="10.140625" style="77" bestFit="1" customWidth="1"/>
    <col min="269" max="512" width="6.85546875" style="77" customWidth="1"/>
    <col min="513" max="513" width="34.28515625" style="77" customWidth="1"/>
    <col min="514" max="514" width="16.28515625" style="77" bestFit="1" customWidth="1"/>
    <col min="515" max="515" width="13.85546875" style="77" bestFit="1" customWidth="1"/>
    <col min="516" max="516" width="65.5703125" style="77" customWidth="1"/>
    <col min="517" max="517" width="26.42578125" style="77" bestFit="1" customWidth="1"/>
    <col min="518" max="518" width="6.85546875" style="77" customWidth="1"/>
    <col min="519" max="519" width="13.85546875" style="77" bestFit="1" customWidth="1"/>
    <col min="520" max="520" width="12.42578125" style="77" bestFit="1" customWidth="1"/>
    <col min="521" max="521" width="12.85546875" style="77" bestFit="1" customWidth="1"/>
    <col min="522" max="522" width="10.140625" style="77" bestFit="1" customWidth="1"/>
    <col min="523" max="523" width="6.85546875" style="77" customWidth="1"/>
    <col min="524" max="524" width="10.140625" style="77" bestFit="1" customWidth="1"/>
    <col min="525" max="768" width="6.85546875" style="77" customWidth="1"/>
    <col min="769" max="769" width="34.28515625" style="77" customWidth="1"/>
    <col min="770" max="770" width="16.28515625" style="77" bestFit="1" customWidth="1"/>
    <col min="771" max="771" width="13.85546875" style="77" bestFit="1" customWidth="1"/>
    <col min="772" max="772" width="65.5703125" style="77" customWidth="1"/>
    <col min="773" max="773" width="26.42578125" style="77" bestFit="1" customWidth="1"/>
    <col min="774" max="774" width="6.85546875" style="77" customWidth="1"/>
    <col min="775" max="775" width="13.85546875" style="77" bestFit="1" customWidth="1"/>
    <col min="776" max="776" width="12.42578125" style="77" bestFit="1" customWidth="1"/>
    <col min="777" max="777" width="12.85546875" style="77" bestFit="1" customWidth="1"/>
    <col min="778" max="778" width="10.140625" style="77" bestFit="1" customWidth="1"/>
    <col min="779" max="779" width="6.85546875" style="77" customWidth="1"/>
    <col min="780" max="780" width="10.140625" style="77" bestFit="1" customWidth="1"/>
    <col min="781" max="1024" width="6.85546875" style="77" customWidth="1"/>
    <col min="1025" max="1025" width="34.28515625" style="77" customWidth="1"/>
    <col min="1026" max="1026" width="16.28515625" style="77" bestFit="1" customWidth="1"/>
    <col min="1027" max="1027" width="13.85546875" style="77" bestFit="1" customWidth="1"/>
    <col min="1028" max="1028" width="65.5703125" style="77" customWidth="1"/>
    <col min="1029" max="1029" width="26.42578125" style="77" bestFit="1" customWidth="1"/>
    <col min="1030" max="1030" width="6.85546875" style="77" customWidth="1"/>
    <col min="1031" max="1031" width="13.85546875" style="77" bestFit="1" customWidth="1"/>
    <col min="1032" max="1032" width="12.42578125" style="77" bestFit="1" customWidth="1"/>
    <col min="1033" max="1033" width="12.85546875" style="77" bestFit="1" customWidth="1"/>
    <col min="1034" max="1034" width="10.140625" style="77" bestFit="1" customWidth="1"/>
    <col min="1035" max="1035" width="6.85546875" style="77" customWidth="1"/>
    <col min="1036" max="1036" width="10.140625" style="77" bestFit="1" customWidth="1"/>
    <col min="1037" max="1280" width="6.85546875" style="77" customWidth="1"/>
    <col min="1281" max="1281" width="34.28515625" style="77" customWidth="1"/>
    <col min="1282" max="1282" width="16.28515625" style="77" bestFit="1" customWidth="1"/>
    <col min="1283" max="1283" width="13.85546875" style="77" bestFit="1" customWidth="1"/>
    <col min="1284" max="1284" width="65.5703125" style="77" customWidth="1"/>
    <col min="1285" max="1285" width="26.42578125" style="77" bestFit="1" customWidth="1"/>
    <col min="1286" max="1286" width="6.85546875" style="77" customWidth="1"/>
    <col min="1287" max="1287" width="13.85546875" style="77" bestFit="1" customWidth="1"/>
    <col min="1288" max="1288" width="12.42578125" style="77" bestFit="1" customWidth="1"/>
    <col min="1289" max="1289" width="12.85546875" style="77" bestFit="1" customWidth="1"/>
    <col min="1290" max="1290" width="10.140625" style="77" bestFit="1" customWidth="1"/>
    <col min="1291" max="1291" width="6.85546875" style="77" customWidth="1"/>
    <col min="1292" max="1292" width="10.140625" style="77" bestFit="1" customWidth="1"/>
    <col min="1293" max="1536" width="6.85546875" style="77" customWidth="1"/>
    <col min="1537" max="1537" width="34.28515625" style="77" customWidth="1"/>
    <col min="1538" max="1538" width="16.28515625" style="77" bestFit="1" customWidth="1"/>
    <col min="1539" max="1539" width="13.85546875" style="77" bestFit="1" customWidth="1"/>
    <col min="1540" max="1540" width="65.5703125" style="77" customWidth="1"/>
    <col min="1541" max="1541" width="26.42578125" style="77" bestFit="1" customWidth="1"/>
    <col min="1542" max="1542" width="6.85546875" style="77" customWidth="1"/>
    <col min="1543" max="1543" width="13.85546875" style="77" bestFit="1" customWidth="1"/>
    <col min="1544" max="1544" width="12.42578125" style="77" bestFit="1" customWidth="1"/>
    <col min="1545" max="1545" width="12.85546875" style="77" bestFit="1" customWidth="1"/>
    <col min="1546" max="1546" width="10.140625" style="77" bestFit="1" customWidth="1"/>
    <col min="1547" max="1547" width="6.85546875" style="77" customWidth="1"/>
    <col min="1548" max="1548" width="10.140625" style="77" bestFit="1" customWidth="1"/>
    <col min="1549" max="1792" width="6.85546875" style="77" customWidth="1"/>
    <col min="1793" max="1793" width="34.28515625" style="77" customWidth="1"/>
    <col min="1794" max="1794" width="16.28515625" style="77" bestFit="1" customWidth="1"/>
    <col min="1795" max="1795" width="13.85546875" style="77" bestFit="1" customWidth="1"/>
    <col min="1796" max="1796" width="65.5703125" style="77" customWidth="1"/>
    <col min="1797" max="1797" width="26.42578125" style="77" bestFit="1" customWidth="1"/>
    <col min="1798" max="1798" width="6.85546875" style="77" customWidth="1"/>
    <col min="1799" max="1799" width="13.85546875" style="77" bestFit="1" customWidth="1"/>
    <col min="1800" max="1800" width="12.42578125" style="77" bestFit="1" customWidth="1"/>
    <col min="1801" max="1801" width="12.85546875" style="77" bestFit="1" customWidth="1"/>
    <col min="1802" max="1802" width="10.140625" style="77" bestFit="1" customWidth="1"/>
    <col min="1803" max="1803" width="6.85546875" style="77" customWidth="1"/>
    <col min="1804" max="1804" width="10.140625" style="77" bestFit="1" customWidth="1"/>
    <col min="1805" max="2048" width="6.85546875" style="77" customWidth="1"/>
    <col min="2049" max="2049" width="34.28515625" style="77" customWidth="1"/>
    <col min="2050" max="2050" width="16.28515625" style="77" bestFit="1" customWidth="1"/>
    <col min="2051" max="2051" width="13.85546875" style="77" bestFit="1" customWidth="1"/>
    <col min="2052" max="2052" width="65.5703125" style="77" customWidth="1"/>
    <col min="2053" max="2053" width="26.42578125" style="77" bestFit="1" customWidth="1"/>
    <col min="2054" max="2054" width="6.85546875" style="77" customWidth="1"/>
    <col min="2055" max="2055" width="13.85546875" style="77" bestFit="1" customWidth="1"/>
    <col min="2056" max="2056" width="12.42578125" style="77" bestFit="1" customWidth="1"/>
    <col min="2057" max="2057" width="12.85546875" style="77" bestFit="1" customWidth="1"/>
    <col min="2058" max="2058" width="10.140625" style="77" bestFit="1" customWidth="1"/>
    <col min="2059" max="2059" width="6.85546875" style="77" customWidth="1"/>
    <col min="2060" max="2060" width="10.140625" style="77" bestFit="1" customWidth="1"/>
    <col min="2061" max="2304" width="6.85546875" style="77" customWidth="1"/>
    <col min="2305" max="2305" width="34.28515625" style="77" customWidth="1"/>
    <col min="2306" max="2306" width="16.28515625" style="77" bestFit="1" customWidth="1"/>
    <col min="2307" max="2307" width="13.85546875" style="77" bestFit="1" customWidth="1"/>
    <col min="2308" max="2308" width="65.5703125" style="77" customWidth="1"/>
    <col min="2309" max="2309" width="26.42578125" style="77" bestFit="1" customWidth="1"/>
    <col min="2310" max="2310" width="6.85546875" style="77" customWidth="1"/>
    <col min="2311" max="2311" width="13.85546875" style="77" bestFit="1" customWidth="1"/>
    <col min="2312" max="2312" width="12.42578125" style="77" bestFit="1" customWidth="1"/>
    <col min="2313" max="2313" width="12.85546875" style="77" bestFit="1" customWidth="1"/>
    <col min="2314" max="2314" width="10.140625" style="77" bestFit="1" customWidth="1"/>
    <col min="2315" max="2315" width="6.85546875" style="77" customWidth="1"/>
    <col min="2316" max="2316" width="10.140625" style="77" bestFit="1" customWidth="1"/>
    <col min="2317" max="2560" width="6.85546875" style="77" customWidth="1"/>
    <col min="2561" max="2561" width="34.28515625" style="77" customWidth="1"/>
    <col min="2562" max="2562" width="16.28515625" style="77" bestFit="1" customWidth="1"/>
    <col min="2563" max="2563" width="13.85546875" style="77" bestFit="1" customWidth="1"/>
    <col min="2564" max="2564" width="65.5703125" style="77" customWidth="1"/>
    <col min="2565" max="2565" width="26.42578125" style="77" bestFit="1" customWidth="1"/>
    <col min="2566" max="2566" width="6.85546875" style="77" customWidth="1"/>
    <col min="2567" max="2567" width="13.85546875" style="77" bestFit="1" customWidth="1"/>
    <col min="2568" max="2568" width="12.42578125" style="77" bestFit="1" customWidth="1"/>
    <col min="2569" max="2569" width="12.85546875" style="77" bestFit="1" customWidth="1"/>
    <col min="2570" max="2570" width="10.140625" style="77" bestFit="1" customWidth="1"/>
    <col min="2571" max="2571" width="6.85546875" style="77" customWidth="1"/>
    <col min="2572" max="2572" width="10.140625" style="77" bestFit="1" customWidth="1"/>
    <col min="2573" max="2816" width="6.85546875" style="77" customWidth="1"/>
    <col min="2817" max="2817" width="34.28515625" style="77" customWidth="1"/>
    <col min="2818" max="2818" width="16.28515625" style="77" bestFit="1" customWidth="1"/>
    <col min="2819" max="2819" width="13.85546875" style="77" bestFit="1" customWidth="1"/>
    <col min="2820" max="2820" width="65.5703125" style="77" customWidth="1"/>
    <col min="2821" max="2821" width="26.42578125" style="77" bestFit="1" customWidth="1"/>
    <col min="2822" max="2822" width="6.85546875" style="77" customWidth="1"/>
    <col min="2823" max="2823" width="13.85546875" style="77" bestFit="1" customWidth="1"/>
    <col min="2824" max="2824" width="12.42578125" style="77" bestFit="1" customWidth="1"/>
    <col min="2825" max="2825" width="12.85546875" style="77" bestFit="1" customWidth="1"/>
    <col min="2826" max="2826" width="10.140625" style="77" bestFit="1" customWidth="1"/>
    <col min="2827" max="2827" width="6.85546875" style="77" customWidth="1"/>
    <col min="2828" max="2828" width="10.140625" style="77" bestFit="1" customWidth="1"/>
    <col min="2829" max="3072" width="6.85546875" style="77" customWidth="1"/>
    <col min="3073" max="3073" width="34.28515625" style="77" customWidth="1"/>
    <col min="3074" max="3074" width="16.28515625" style="77" bestFit="1" customWidth="1"/>
    <col min="3075" max="3075" width="13.85546875" style="77" bestFit="1" customWidth="1"/>
    <col min="3076" max="3076" width="65.5703125" style="77" customWidth="1"/>
    <col min="3077" max="3077" width="26.42578125" style="77" bestFit="1" customWidth="1"/>
    <col min="3078" max="3078" width="6.85546875" style="77" customWidth="1"/>
    <col min="3079" max="3079" width="13.85546875" style="77" bestFit="1" customWidth="1"/>
    <col min="3080" max="3080" width="12.42578125" style="77" bestFit="1" customWidth="1"/>
    <col min="3081" max="3081" width="12.85546875" style="77" bestFit="1" customWidth="1"/>
    <col min="3082" max="3082" width="10.140625" style="77" bestFit="1" customWidth="1"/>
    <col min="3083" max="3083" width="6.85546875" style="77" customWidth="1"/>
    <col min="3084" max="3084" width="10.140625" style="77" bestFit="1" customWidth="1"/>
    <col min="3085" max="3328" width="6.85546875" style="77" customWidth="1"/>
    <col min="3329" max="3329" width="34.28515625" style="77" customWidth="1"/>
    <col min="3330" max="3330" width="16.28515625" style="77" bestFit="1" customWidth="1"/>
    <col min="3331" max="3331" width="13.85546875" style="77" bestFit="1" customWidth="1"/>
    <col min="3332" max="3332" width="65.5703125" style="77" customWidth="1"/>
    <col min="3333" max="3333" width="26.42578125" style="77" bestFit="1" customWidth="1"/>
    <col min="3334" max="3334" width="6.85546875" style="77" customWidth="1"/>
    <col min="3335" max="3335" width="13.85546875" style="77" bestFit="1" customWidth="1"/>
    <col min="3336" max="3336" width="12.42578125" style="77" bestFit="1" customWidth="1"/>
    <col min="3337" max="3337" width="12.85546875" style="77" bestFit="1" customWidth="1"/>
    <col min="3338" max="3338" width="10.140625" style="77" bestFit="1" customWidth="1"/>
    <col min="3339" max="3339" width="6.85546875" style="77" customWidth="1"/>
    <col min="3340" max="3340" width="10.140625" style="77" bestFit="1" customWidth="1"/>
    <col min="3341" max="3584" width="6.85546875" style="77" customWidth="1"/>
    <col min="3585" max="3585" width="34.28515625" style="77" customWidth="1"/>
    <col min="3586" max="3586" width="16.28515625" style="77" bestFit="1" customWidth="1"/>
    <col min="3587" max="3587" width="13.85546875" style="77" bestFit="1" customWidth="1"/>
    <col min="3588" max="3588" width="65.5703125" style="77" customWidth="1"/>
    <col min="3589" max="3589" width="26.42578125" style="77" bestFit="1" customWidth="1"/>
    <col min="3590" max="3590" width="6.85546875" style="77" customWidth="1"/>
    <col min="3591" max="3591" width="13.85546875" style="77" bestFit="1" customWidth="1"/>
    <col min="3592" max="3592" width="12.42578125" style="77" bestFit="1" customWidth="1"/>
    <col min="3593" max="3593" width="12.85546875" style="77" bestFit="1" customWidth="1"/>
    <col min="3594" max="3594" width="10.140625" style="77" bestFit="1" customWidth="1"/>
    <col min="3595" max="3595" width="6.85546875" style="77" customWidth="1"/>
    <col min="3596" max="3596" width="10.140625" style="77" bestFit="1" customWidth="1"/>
    <col min="3597" max="3840" width="6.85546875" style="77" customWidth="1"/>
    <col min="3841" max="3841" width="34.28515625" style="77" customWidth="1"/>
    <col min="3842" max="3842" width="16.28515625" style="77" bestFit="1" customWidth="1"/>
    <col min="3843" max="3843" width="13.85546875" style="77" bestFit="1" customWidth="1"/>
    <col min="3844" max="3844" width="65.5703125" style="77" customWidth="1"/>
    <col min="3845" max="3845" width="26.42578125" style="77" bestFit="1" customWidth="1"/>
    <col min="3846" max="3846" width="6.85546875" style="77" customWidth="1"/>
    <col min="3847" max="3847" width="13.85546875" style="77" bestFit="1" customWidth="1"/>
    <col min="3848" max="3848" width="12.42578125" style="77" bestFit="1" customWidth="1"/>
    <col min="3849" max="3849" width="12.85546875" style="77" bestFit="1" customWidth="1"/>
    <col min="3850" max="3850" width="10.140625" style="77" bestFit="1" customWidth="1"/>
    <col min="3851" max="3851" width="6.85546875" style="77" customWidth="1"/>
    <col min="3852" max="3852" width="10.140625" style="77" bestFit="1" customWidth="1"/>
    <col min="3853" max="4096" width="6.85546875" style="77" customWidth="1"/>
    <col min="4097" max="4097" width="34.28515625" style="77" customWidth="1"/>
    <col min="4098" max="4098" width="16.28515625" style="77" bestFit="1" customWidth="1"/>
    <col min="4099" max="4099" width="13.85546875" style="77" bestFit="1" customWidth="1"/>
    <col min="4100" max="4100" width="65.5703125" style="77" customWidth="1"/>
    <col min="4101" max="4101" width="26.42578125" style="77" bestFit="1" customWidth="1"/>
    <col min="4102" max="4102" width="6.85546875" style="77" customWidth="1"/>
    <col min="4103" max="4103" width="13.85546875" style="77" bestFit="1" customWidth="1"/>
    <col min="4104" max="4104" width="12.42578125" style="77" bestFit="1" customWidth="1"/>
    <col min="4105" max="4105" width="12.85546875" style="77" bestFit="1" customWidth="1"/>
    <col min="4106" max="4106" width="10.140625" style="77" bestFit="1" customWidth="1"/>
    <col min="4107" max="4107" width="6.85546875" style="77" customWidth="1"/>
    <col min="4108" max="4108" width="10.140625" style="77" bestFit="1" customWidth="1"/>
    <col min="4109" max="4352" width="6.85546875" style="77" customWidth="1"/>
    <col min="4353" max="4353" width="34.28515625" style="77" customWidth="1"/>
    <col min="4354" max="4354" width="16.28515625" style="77" bestFit="1" customWidth="1"/>
    <col min="4355" max="4355" width="13.85546875" style="77" bestFit="1" customWidth="1"/>
    <col min="4356" max="4356" width="65.5703125" style="77" customWidth="1"/>
    <col min="4357" max="4357" width="26.42578125" style="77" bestFit="1" customWidth="1"/>
    <col min="4358" max="4358" width="6.85546875" style="77" customWidth="1"/>
    <col min="4359" max="4359" width="13.85546875" style="77" bestFit="1" customWidth="1"/>
    <col min="4360" max="4360" width="12.42578125" style="77" bestFit="1" customWidth="1"/>
    <col min="4361" max="4361" width="12.85546875" style="77" bestFit="1" customWidth="1"/>
    <col min="4362" max="4362" width="10.140625" style="77" bestFit="1" customWidth="1"/>
    <col min="4363" max="4363" width="6.85546875" style="77" customWidth="1"/>
    <col min="4364" max="4364" width="10.140625" style="77" bestFit="1" customWidth="1"/>
    <col min="4365" max="4608" width="6.85546875" style="77" customWidth="1"/>
    <col min="4609" max="4609" width="34.28515625" style="77" customWidth="1"/>
    <col min="4610" max="4610" width="16.28515625" style="77" bestFit="1" customWidth="1"/>
    <col min="4611" max="4611" width="13.85546875" style="77" bestFit="1" customWidth="1"/>
    <col min="4612" max="4612" width="65.5703125" style="77" customWidth="1"/>
    <col min="4613" max="4613" width="26.42578125" style="77" bestFit="1" customWidth="1"/>
    <col min="4614" max="4614" width="6.85546875" style="77" customWidth="1"/>
    <col min="4615" max="4615" width="13.85546875" style="77" bestFit="1" customWidth="1"/>
    <col min="4616" max="4616" width="12.42578125" style="77" bestFit="1" customWidth="1"/>
    <col min="4617" max="4617" width="12.85546875" style="77" bestFit="1" customWidth="1"/>
    <col min="4618" max="4618" width="10.140625" style="77" bestFit="1" customWidth="1"/>
    <col min="4619" max="4619" width="6.85546875" style="77" customWidth="1"/>
    <col min="4620" max="4620" width="10.140625" style="77" bestFit="1" customWidth="1"/>
    <col min="4621" max="4864" width="6.85546875" style="77" customWidth="1"/>
    <col min="4865" max="4865" width="34.28515625" style="77" customWidth="1"/>
    <col min="4866" max="4866" width="16.28515625" style="77" bestFit="1" customWidth="1"/>
    <col min="4867" max="4867" width="13.85546875" style="77" bestFit="1" customWidth="1"/>
    <col min="4868" max="4868" width="65.5703125" style="77" customWidth="1"/>
    <col min="4869" max="4869" width="26.42578125" style="77" bestFit="1" customWidth="1"/>
    <col min="4870" max="4870" width="6.85546875" style="77" customWidth="1"/>
    <col min="4871" max="4871" width="13.85546875" style="77" bestFit="1" customWidth="1"/>
    <col min="4872" max="4872" width="12.42578125" style="77" bestFit="1" customWidth="1"/>
    <col min="4873" max="4873" width="12.85546875" style="77" bestFit="1" customWidth="1"/>
    <col min="4874" max="4874" width="10.140625" style="77" bestFit="1" customWidth="1"/>
    <col min="4875" max="4875" width="6.85546875" style="77" customWidth="1"/>
    <col min="4876" max="4876" width="10.140625" style="77" bestFit="1" customWidth="1"/>
    <col min="4877" max="5120" width="6.85546875" style="77" customWidth="1"/>
    <col min="5121" max="5121" width="34.28515625" style="77" customWidth="1"/>
    <col min="5122" max="5122" width="16.28515625" style="77" bestFit="1" customWidth="1"/>
    <col min="5123" max="5123" width="13.85546875" style="77" bestFit="1" customWidth="1"/>
    <col min="5124" max="5124" width="65.5703125" style="77" customWidth="1"/>
    <col min="5125" max="5125" width="26.42578125" style="77" bestFit="1" customWidth="1"/>
    <col min="5126" max="5126" width="6.85546875" style="77" customWidth="1"/>
    <col min="5127" max="5127" width="13.85546875" style="77" bestFit="1" customWidth="1"/>
    <col min="5128" max="5128" width="12.42578125" style="77" bestFit="1" customWidth="1"/>
    <col min="5129" max="5129" width="12.85546875" style="77" bestFit="1" customWidth="1"/>
    <col min="5130" max="5130" width="10.140625" style="77" bestFit="1" customWidth="1"/>
    <col min="5131" max="5131" width="6.85546875" style="77" customWidth="1"/>
    <col min="5132" max="5132" width="10.140625" style="77" bestFit="1" customWidth="1"/>
    <col min="5133" max="5376" width="6.85546875" style="77" customWidth="1"/>
    <col min="5377" max="5377" width="34.28515625" style="77" customWidth="1"/>
    <col min="5378" max="5378" width="16.28515625" style="77" bestFit="1" customWidth="1"/>
    <col min="5379" max="5379" width="13.85546875" style="77" bestFit="1" customWidth="1"/>
    <col min="5380" max="5380" width="65.5703125" style="77" customWidth="1"/>
    <col min="5381" max="5381" width="26.42578125" style="77" bestFit="1" customWidth="1"/>
    <col min="5382" max="5382" width="6.85546875" style="77" customWidth="1"/>
    <col min="5383" max="5383" width="13.85546875" style="77" bestFit="1" customWidth="1"/>
    <col min="5384" max="5384" width="12.42578125" style="77" bestFit="1" customWidth="1"/>
    <col min="5385" max="5385" width="12.85546875" style="77" bestFit="1" customWidth="1"/>
    <col min="5386" max="5386" width="10.140625" style="77" bestFit="1" customWidth="1"/>
    <col min="5387" max="5387" width="6.85546875" style="77" customWidth="1"/>
    <col min="5388" max="5388" width="10.140625" style="77" bestFit="1" customWidth="1"/>
    <col min="5389" max="5632" width="6.85546875" style="77" customWidth="1"/>
    <col min="5633" max="5633" width="34.28515625" style="77" customWidth="1"/>
    <col min="5634" max="5634" width="16.28515625" style="77" bestFit="1" customWidth="1"/>
    <col min="5635" max="5635" width="13.85546875" style="77" bestFit="1" customWidth="1"/>
    <col min="5636" max="5636" width="65.5703125" style="77" customWidth="1"/>
    <col min="5637" max="5637" width="26.42578125" style="77" bestFit="1" customWidth="1"/>
    <col min="5638" max="5638" width="6.85546875" style="77" customWidth="1"/>
    <col min="5639" max="5639" width="13.85546875" style="77" bestFit="1" customWidth="1"/>
    <col min="5640" max="5640" width="12.42578125" style="77" bestFit="1" customWidth="1"/>
    <col min="5641" max="5641" width="12.85546875" style="77" bestFit="1" customWidth="1"/>
    <col min="5642" max="5642" width="10.140625" style="77" bestFit="1" customWidth="1"/>
    <col min="5643" max="5643" width="6.85546875" style="77" customWidth="1"/>
    <col min="5644" max="5644" width="10.140625" style="77" bestFit="1" customWidth="1"/>
    <col min="5645" max="5888" width="6.85546875" style="77" customWidth="1"/>
    <col min="5889" max="5889" width="34.28515625" style="77" customWidth="1"/>
    <col min="5890" max="5890" width="16.28515625" style="77" bestFit="1" customWidth="1"/>
    <col min="5891" max="5891" width="13.85546875" style="77" bestFit="1" customWidth="1"/>
    <col min="5892" max="5892" width="65.5703125" style="77" customWidth="1"/>
    <col min="5893" max="5893" width="26.42578125" style="77" bestFit="1" customWidth="1"/>
    <col min="5894" max="5894" width="6.85546875" style="77" customWidth="1"/>
    <col min="5895" max="5895" width="13.85546875" style="77" bestFit="1" customWidth="1"/>
    <col min="5896" max="5896" width="12.42578125" style="77" bestFit="1" customWidth="1"/>
    <col min="5897" max="5897" width="12.85546875" style="77" bestFit="1" customWidth="1"/>
    <col min="5898" max="5898" width="10.140625" style="77" bestFit="1" customWidth="1"/>
    <col min="5899" max="5899" width="6.85546875" style="77" customWidth="1"/>
    <col min="5900" max="5900" width="10.140625" style="77" bestFit="1" customWidth="1"/>
    <col min="5901" max="6144" width="6.85546875" style="77" customWidth="1"/>
    <col min="6145" max="6145" width="34.28515625" style="77" customWidth="1"/>
    <col min="6146" max="6146" width="16.28515625" style="77" bestFit="1" customWidth="1"/>
    <col min="6147" max="6147" width="13.85546875" style="77" bestFit="1" customWidth="1"/>
    <col min="6148" max="6148" width="65.5703125" style="77" customWidth="1"/>
    <col min="6149" max="6149" width="26.42578125" style="77" bestFit="1" customWidth="1"/>
    <col min="6150" max="6150" width="6.85546875" style="77" customWidth="1"/>
    <col min="6151" max="6151" width="13.85546875" style="77" bestFit="1" customWidth="1"/>
    <col min="6152" max="6152" width="12.42578125" style="77" bestFit="1" customWidth="1"/>
    <col min="6153" max="6153" width="12.85546875" style="77" bestFit="1" customWidth="1"/>
    <col min="6154" max="6154" width="10.140625" style="77" bestFit="1" customWidth="1"/>
    <col min="6155" max="6155" width="6.85546875" style="77" customWidth="1"/>
    <col min="6156" max="6156" width="10.140625" style="77" bestFit="1" customWidth="1"/>
    <col min="6157" max="6400" width="6.85546875" style="77" customWidth="1"/>
    <col min="6401" max="6401" width="34.28515625" style="77" customWidth="1"/>
    <col min="6402" max="6402" width="16.28515625" style="77" bestFit="1" customWidth="1"/>
    <col min="6403" max="6403" width="13.85546875" style="77" bestFit="1" customWidth="1"/>
    <col min="6404" max="6404" width="65.5703125" style="77" customWidth="1"/>
    <col min="6405" max="6405" width="26.42578125" style="77" bestFit="1" customWidth="1"/>
    <col min="6406" max="6406" width="6.85546875" style="77" customWidth="1"/>
    <col min="6407" max="6407" width="13.85546875" style="77" bestFit="1" customWidth="1"/>
    <col min="6408" max="6408" width="12.42578125" style="77" bestFit="1" customWidth="1"/>
    <col min="6409" max="6409" width="12.85546875" style="77" bestFit="1" customWidth="1"/>
    <col min="6410" max="6410" width="10.140625" style="77" bestFit="1" customWidth="1"/>
    <col min="6411" max="6411" width="6.85546875" style="77" customWidth="1"/>
    <col min="6412" max="6412" width="10.140625" style="77" bestFit="1" customWidth="1"/>
    <col min="6413" max="6656" width="6.85546875" style="77" customWidth="1"/>
    <col min="6657" max="6657" width="34.28515625" style="77" customWidth="1"/>
    <col min="6658" max="6658" width="16.28515625" style="77" bestFit="1" customWidth="1"/>
    <col min="6659" max="6659" width="13.85546875" style="77" bestFit="1" customWidth="1"/>
    <col min="6660" max="6660" width="65.5703125" style="77" customWidth="1"/>
    <col min="6661" max="6661" width="26.42578125" style="77" bestFit="1" customWidth="1"/>
    <col min="6662" max="6662" width="6.85546875" style="77" customWidth="1"/>
    <col min="6663" max="6663" width="13.85546875" style="77" bestFit="1" customWidth="1"/>
    <col min="6664" max="6664" width="12.42578125" style="77" bestFit="1" customWidth="1"/>
    <col min="6665" max="6665" width="12.85546875" style="77" bestFit="1" customWidth="1"/>
    <col min="6666" max="6666" width="10.140625" style="77" bestFit="1" customWidth="1"/>
    <col min="6667" max="6667" width="6.85546875" style="77" customWidth="1"/>
    <col min="6668" max="6668" width="10.140625" style="77" bestFit="1" customWidth="1"/>
    <col min="6669" max="6912" width="6.85546875" style="77" customWidth="1"/>
    <col min="6913" max="6913" width="34.28515625" style="77" customWidth="1"/>
    <col min="6914" max="6914" width="16.28515625" style="77" bestFit="1" customWidth="1"/>
    <col min="6915" max="6915" width="13.85546875" style="77" bestFit="1" customWidth="1"/>
    <col min="6916" max="6916" width="65.5703125" style="77" customWidth="1"/>
    <col min="6917" max="6917" width="26.42578125" style="77" bestFit="1" customWidth="1"/>
    <col min="6918" max="6918" width="6.85546875" style="77" customWidth="1"/>
    <col min="6919" max="6919" width="13.85546875" style="77" bestFit="1" customWidth="1"/>
    <col min="6920" max="6920" width="12.42578125" style="77" bestFit="1" customWidth="1"/>
    <col min="6921" max="6921" width="12.85546875" style="77" bestFit="1" customWidth="1"/>
    <col min="6922" max="6922" width="10.140625" style="77" bestFit="1" customWidth="1"/>
    <col min="6923" max="6923" width="6.85546875" style="77" customWidth="1"/>
    <col min="6924" max="6924" width="10.140625" style="77" bestFit="1" customWidth="1"/>
    <col min="6925" max="7168" width="6.85546875" style="77" customWidth="1"/>
    <col min="7169" max="7169" width="34.28515625" style="77" customWidth="1"/>
    <col min="7170" max="7170" width="16.28515625" style="77" bestFit="1" customWidth="1"/>
    <col min="7171" max="7171" width="13.85546875" style="77" bestFit="1" customWidth="1"/>
    <col min="7172" max="7172" width="65.5703125" style="77" customWidth="1"/>
    <col min="7173" max="7173" width="26.42578125" style="77" bestFit="1" customWidth="1"/>
    <col min="7174" max="7174" width="6.85546875" style="77" customWidth="1"/>
    <col min="7175" max="7175" width="13.85546875" style="77" bestFit="1" customWidth="1"/>
    <col min="7176" max="7176" width="12.42578125" style="77" bestFit="1" customWidth="1"/>
    <col min="7177" max="7177" width="12.85546875" style="77" bestFit="1" customWidth="1"/>
    <col min="7178" max="7178" width="10.140625" style="77" bestFit="1" customWidth="1"/>
    <col min="7179" max="7179" width="6.85546875" style="77" customWidth="1"/>
    <col min="7180" max="7180" width="10.140625" style="77" bestFit="1" customWidth="1"/>
    <col min="7181" max="7424" width="6.85546875" style="77" customWidth="1"/>
    <col min="7425" max="7425" width="34.28515625" style="77" customWidth="1"/>
    <col min="7426" max="7426" width="16.28515625" style="77" bestFit="1" customWidth="1"/>
    <col min="7427" max="7427" width="13.85546875" style="77" bestFit="1" customWidth="1"/>
    <col min="7428" max="7428" width="65.5703125" style="77" customWidth="1"/>
    <col min="7429" max="7429" width="26.42578125" style="77" bestFit="1" customWidth="1"/>
    <col min="7430" max="7430" width="6.85546875" style="77" customWidth="1"/>
    <col min="7431" max="7431" width="13.85546875" style="77" bestFit="1" customWidth="1"/>
    <col min="7432" max="7432" width="12.42578125" style="77" bestFit="1" customWidth="1"/>
    <col min="7433" max="7433" width="12.85546875" style="77" bestFit="1" customWidth="1"/>
    <col min="7434" max="7434" width="10.140625" style="77" bestFit="1" customWidth="1"/>
    <col min="7435" max="7435" width="6.85546875" style="77" customWidth="1"/>
    <col min="7436" max="7436" width="10.140625" style="77" bestFit="1" customWidth="1"/>
    <col min="7437" max="7680" width="6.85546875" style="77" customWidth="1"/>
    <col min="7681" max="7681" width="34.28515625" style="77" customWidth="1"/>
    <col min="7682" max="7682" width="16.28515625" style="77" bestFit="1" customWidth="1"/>
    <col min="7683" max="7683" width="13.85546875" style="77" bestFit="1" customWidth="1"/>
    <col min="7684" max="7684" width="65.5703125" style="77" customWidth="1"/>
    <col min="7685" max="7685" width="26.42578125" style="77" bestFit="1" customWidth="1"/>
    <col min="7686" max="7686" width="6.85546875" style="77" customWidth="1"/>
    <col min="7687" max="7687" width="13.85546875" style="77" bestFit="1" customWidth="1"/>
    <col min="7688" max="7688" width="12.42578125" style="77" bestFit="1" customWidth="1"/>
    <col min="7689" max="7689" width="12.85546875" style="77" bestFit="1" customWidth="1"/>
    <col min="7690" max="7690" width="10.140625" style="77" bestFit="1" customWidth="1"/>
    <col min="7691" max="7691" width="6.85546875" style="77" customWidth="1"/>
    <col min="7692" max="7692" width="10.140625" style="77" bestFit="1" customWidth="1"/>
    <col min="7693" max="7936" width="6.85546875" style="77" customWidth="1"/>
    <col min="7937" max="7937" width="34.28515625" style="77" customWidth="1"/>
    <col min="7938" max="7938" width="16.28515625" style="77" bestFit="1" customWidth="1"/>
    <col min="7939" max="7939" width="13.85546875" style="77" bestFit="1" customWidth="1"/>
    <col min="7940" max="7940" width="65.5703125" style="77" customWidth="1"/>
    <col min="7941" max="7941" width="26.42578125" style="77" bestFit="1" customWidth="1"/>
    <col min="7942" max="7942" width="6.85546875" style="77" customWidth="1"/>
    <col min="7943" max="7943" width="13.85546875" style="77" bestFit="1" customWidth="1"/>
    <col min="7944" max="7944" width="12.42578125" style="77" bestFit="1" customWidth="1"/>
    <col min="7945" max="7945" width="12.85546875" style="77" bestFit="1" customWidth="1"/>
    <col min="7946" max="7946" width="10.140625" style="77" bestFit="1" customWidth="1"/>
    <col min="7947" max="7947" width="6.85546875" style="77" customWidth="1"/>
    <col min="7948" max="7948" width="10.140625" style="77" bestFit="1" customWidth="1"/>
    <col min="7949" max="8192" width="6.85546875" style="77" customWidth="1"/>
    <col min="8193" max="8193" width="34.28515625" style="77" customWidth="1"/>
    <col min="8194" max="8194" width="16.28515625" style="77" bestFit="1" customWidth="1"/>
    <col min="8195" max="8195" width="13.85546875" style="77" bestFit="1" customWidth="1"/>
    <col min="8196" max="8196" width="65.5703125" style="77" customWidth="1"/>
    <col min="8197" max="8197" width="26.42578125" style="77" bestFit="1" customWidth="1"/>
    <col min="8198" max="8198" width="6.85546875" style="77" customWidth="1"/>
    <col min="8199" max="8199" width="13.85546875" style="77" bestFit="1" customWidth="1"/>
    <col min="8200" max="8200" width="12.42578125" style="77" bestFit="1" customWidth="1"/>
    <col min="8201" max="8201" width="12.85546875" style="77" bestFit="1" customWidth="1"/>
    <col min="8202" max="8202" width="10.140625" style="77" bestFit="1" customWidth="1"/>
    <col min="8203" max="8203" width="6.85546875" style="77" customWidth="1"/>
    <col min="8204" max="8204" width="10.140625" style="77" bestFit="1" customWidth="1"/>
    <col min="8205" max="8448" width="6.85546875" style="77" customWidth="1"/>
    <col min="8449" max="8449" width="34.28515625" style="77" customWidth="1"/>
    <col min="8450" max="8450" width="16.28515625" style="77" bestFit="1" customWidth="1"/>
    <col min="8451" max="8451" width="13.85546875" style="77" bestFit="1" customWidth="1"/>
    <col min="8452" max="8452" width="65.5703125" style="77" customWidth="1"/>
    <col min="8453" max="8453" width="26.42578125" style="77" bestFit="1" customWidth="1"/>
    <col min="8454" max="8454" width="6.85546875" style="77" customWidth="1"/>
    <col min="8455" max="8455" width="13.85546875" style="77" bestFit="1" customWidth="1"/>
    <col min="8456" max="8456" width="12.42578125" style="77" bestFit="1" customWidth="1"/>
    <col min="8457" max="8457" width="12.85546875" style="77" bestFit="1" customWidth="1"/>
    <col min="8458" max="8458" width="10.140625" style="77" bestFit="1" customWidth="1"/>
    <col min="8459" max="8459" width="6.85546875" style="77" customWidth="1"/>
    <col min="8460" max="8460" width="10.140625" style="77" bestFit="1" customWidth="1"/>
    <col min="8461" max="8704" width="6.85546875" style="77" customWidth="1"/>
    <col min="8705" max="8705" width="34.28515625" style="77" customWidth="1"/>
    <col min="8706" max="8706" width="16.28515625" style="77" bestFit="1" customWidth="1"/>
    <col min="8707" max="8707" width="13.85546875" style="77" bestFit="1" customWidth="1"/>
    <col min="8708" max="8708" width="65.5703125" style="77" customWidth="1"/>
    <col min="8709" max="8709" width="26.42578125" style="77" bestFit="1" customWidth="1"/>
    <col min="8710" max="8710" width="6.85546875" style="77" customWidth="1"/>
    <col min="8711" max="8711" width="13.85546875" style="77" bestFit="1" customWidth="1"/>
    <col min="8712" max="8712" width="12.42578125" style="77" bestFit="1" customWidth="1"/>
    <col min="8713" max="8713" width="12.85546875" style="77" bestFit="1" customWidth="1"/>
    <col min="8714" max="8714" width="10.140625" style="77" bestFit="1" customWidth="1"/>
    <col min="8715" max="8715" width="6.85546875" style="77" customWidth="1"/>
    <col min="8716" max="8716" width="10.140625" style="77" bestFit="1" customWidth="1"/>
    <col min="8717" max="8960" width="6.85546875" style="77" customWidth="1"/>
    <col min="8961" max="8961" width="34.28515625" style="77" customWidth="1"/>
    <col min="8962" max="8962" width="16.28515625" style="77" bestFit="1" customWidth="1"/>
    <col min="8963" max="8963" width="13.85546875" style="77" bestFit="1" customWidth="1"/>
    <col min="8964" max="8964" width="65.5703125" style="77" customWidth="1"/>
    <col min="8965" max="8965" width="26.42578125" style="77" bestFit="1" customWidth="1"/>
    <col min="8966" max="8966" width="6.85546875" style="77" customWidth="1"/>
    <col min="8967" max="8967" width="13.85546875" style="77" bestFit="1" customWidth="1"/>
    <col min="8968" max="8968" width="12.42578125" style="77" bestFit="1" customWidth="1"/>
    <col min="8969" max="8969" width="12.85546875" style="77" bestFit="1" customWidth="1"/>
    <col min="8970" max="8970" width="10.140625" style="77" bestFit="1" customWidth="1"/>
    <col min="8971" max="8971" width="6.85546875" style="77" customWidth="1"/>
    <col min="8972" max="8972" width="10.140625" style="77" bestFit="1" customWidth="1"/>
    <col min="8973" max="9216" width="6.85546875" style="77" customWidth="1"/>
    <col min="9217" max="9217" width="34.28515625" style="77" customWidth="1"/>
    <col min="9218" max="9218" width="16.28515625" style="77" bestFit="1" customWidth="1"/>
    <col min="9219" max="9219" width="13.85546875" style="77" bestFit="1" customWidth="1"/>
    <col min="9220" max="9220" width="65.5703125" style="77" customWidth="1"/>
    <col min="9221" max="9221" width="26.42578125" style="77" bestFit="1" customWidth="1"/>
    <col min="9222" max="9222" width="6.85546875" style="77" customWidth="1"/>
    <col min="9223" max="9223" width="13.85546875" style="77" bestFit="1" customWidth="1"/>
    <col min="9224" max="9224" width="12.42578125" style="77" bestFit="1" customWidth="1"/>
    <col min="9225" max="9225" width="12.85546875" style="77" bestFit="1" customWidth="1"/>
    <col min="9226" max="9226" width="10.140625" style="77" bestFit="1" customWidth="1"/>
    <col min="9227" max="9227" width="6.85546875" style="77" customWidth="1"/>
    <col min="9228" max="9228" width="10.140625" style="77" bestFit="1" customWidth="1"/>
    <col min="9229" max="9472" width="6.85546875" style="77" customWidth="1"/>
    <col min="9473" max="9473" width="34.28515625" style="77" customWidth="1"/>
    <col min="9474" max="9474" width="16.28515625" style="77" bestFit="1" customWidth="1"/>
    <col min="9475" max="9475" width="13.85546875" style="77" bestFit="1" customWidth="1"/>
    <col min="9476" max="9476" width="65.5703125" style="77" customWidth="1"/>
    <col min="9477" max="9477" width="26.42578125" style="77" bestFit="1" customWidth="1"/>
    <col min="9478" max="9478" width="6.85546875" style="77" customWidth="1"/>
    <col min="9479" max="9479" width="13.85546875" style="77" bestFit="1" customWidth="1"/>
    <col min="9480" max="9480" width="12.42578125" style="77" bestFit="1" customWidth="1"/>
    <col min="9481" max="9481" width="12.85546875" style="77" bestFit="1" customWidth="1"/>
    <col min="9482" max="9482" width="10.140625" style="77" bestFit="1" customWidth="1"/>
    <col min="9483" max="9483" width="6.85546875" style="77" customWidth="1"/>
    <col min="9484" max="9484" width="10.140625" style="77" bestFit="1" customWidth="1"/>
    <col min="9485" max="9728" width="6.85546875" style="77" customWidth="1"/>
    <col min="9729" max="9729" width="34.28515625" style="77" customWidth="1"/>
    <col min="9730" max="9730" width="16.28515625" style="77" bestFit="1" customWidth="1"/>
    <col min="9731" max="9731" width="13.85546875" style="77" bestFit="1" customWidth="1"/>
    <col min="9732" max="9732" width="65.5703125" style="77" customWidth="1"/>
    <col min="9733" max="9733" width="26.42578125" style="77" bestFit="1" customWidth="1"/>
    <col min="9734" max="9734" width="6.85546875" style="77" customWidth="1"/>
    <col min="9735" max="9735" width="13.85546875" style="77" bestFit="1" customWidth="1"/>
    <col min="9736" max="9736" width="12.42578125" style="77" bestFit="1" customWidth="1"/>
    <col min="9737" max="9737" width="12.85546875" style="77" bestFit="1" customWidth="1"/>
    <col min="9738" max="9738" width="10.140625" style="77" bestFit="1" customWidth="1"/>
    <col min="9739" max="9739" width="6.85546875" style="77" customWidth="1"/>
    <col min="9740" max="9740" width="10.140625" style="77" bestFit="1" customWidth="1"/>
    <col min="9741" max="9984" width="6.85546875" style="77" customWidth="1"/>
    <col min="9985" max="9985" width="34.28515625" style="77" customWidth="1"/>
    <col min="9986" max="9986" width="16.28515625" style="77" bestFit="1" customWidth="1"/>
    <col min="9987" max="9987" width="13.85546875" style="77" bestFit="1" customWidth="1"/>
    <col min="9988" max="9988" width="65.5703125" style="77" customWidth="1"/>
    <col min="9989" max="9989" width="26.42578125" style="77" bestFit="1" customWidth="1"/>
    <col min="9990" max="9990" width="6.85546875" style="77" customWidth="1"/>
    <col min="9991" max="9991" width="13.85546875" style="77" bestFit="1" customWidth="1"/>
    <col min="9992" max="9992" width="12.42578125" style="77" bestFit="1" customWidth="1"/>
    <col min="9993" max="9993" width="12.85546875" style="77" bestFit="1" customWidth="1"/>
    <col min="9994" max="9994" width="10.140625" style="77" bestFit="1" customWidth="1"/>
    <col min="9995" max="9995" width="6.85546875" style="77" customWidth="1"/>
    <col min="9996" max="9996" width="10.140625" style="77" bestFit="1" customWidth="1"/>
    <col min="9997" max="10240" width="6.85546875" style="77" customWidth="1"/>
    <col min="10241" max="10241" width="34.28515625" style="77" customWidth="1"/>
    <col min="10242" max="10242" width="16.28515625" style="77" bestFit="1" customWidth="1"/>
    <col min="10243" max="10243" width="13.85546875" style="77" bestFit="1" customWidth="1"/>
    <col min="10244" max="10244" width="65.5703125" style="77" customWidth="1"/>
    <col min="10245" max="10245" width="26.42578125" style="77" bestFit="1" customWidth="1"/>
    <col min="10246" max="10246" width="6.85546875" style="77" customWidth="1"/>
    <col min="10247" max="10247" width="13.85546875" style="77" bestFit="1" customWidth="1"/>
    <col min="10248" max="10248" width="12.42578125" style="77" bestFit="1" customWidth="1"/>
    <col min="10249" max="10249" width="12.85546875" style="77" bestFit="1" customWidth="1"/>
    <col min="10250" max="10250" width="10.140625" style="77" bestFit="1" customWidth="1"/>
    <col min="10251" max="10251" width="6.85546875" style="77" customWidth="1"/>
    <col min="10252" max="10252" width="10.140625" style="77" bestFit="1" customWidth="1"/>
    <col min="10253" max="10496" width="6.85546875" style="77" customWidth="1"/>
    <col min="10497" max="10497" width="34.28515625" style="77" customWidth="1"/>
    <col min="10498" max="10498" width="16.28515625" style="77" bestFit="1" customWidth="1"/>
    <col min="10499" max="10499" width="13.85546875" style="77" bestFit="1" customWidth="1"/>
    <col min="10500" max="10500" width="65.5703125" style="77" customWidth="1"/>
    <col min="10501" max="10501" width="26.42578125" style="77" bestFit="1" customWidth="1"/>
    <col min="10502" max="10502" width="6.85546875" style="77" customWidth="1"/>
    <col min="10503" max="10503" width="13.85546875" style="77" bestFit="1" customWidth="1"/>
    <col min="10504" max="10504" width="12.42578125" style="77" bestFit="1" customWidth="1"/>
    <col min="10505" max="10505" width="12.85546875" style="77" bestFit="1" customWidth="1"/>
    <col min="10506" max="10506" width="10.140625" style="77" bestFit="1" customWidth="1"/>
    <col min="10507" max="10507" width="6.85546875" style="77" customWidth="1"/>
    <col min="10508" max="10508" width="10.140625" style="77" bestFit="1" customWidth="1"/>
    <col min="10509" max="10752" width="6.85546875" style="77" customWidth="1"/>
    <col min="10753" max="10753" width="34.28515625" style="77" customWidth="1"/>
    <col min="10754" max="10754" width="16.28515625" style="77" bestFit="1" customWidth="1"/>
    <col min="10755" max="10755" width="13.85546875" style="77" bestFit="1" customWidth="1"/>
    <col min="10756" max="10756" width="65.5703125" style="77" customWidth="1"/>
    <col min="10757" max="10757" width="26.42578125" style="77" bestFit="1" customWidth="1"/>
    <col min="10758" max="10758" width="6.85546875" style="77" customWidth="1"/>
    <col min="10759" max="10759" width="13.85546875" style="77" bestFit="1" customWidth="1"/>
    <col min="10760" max="10760" width="12.42578125" style="77" bestFit="1" customWidth="1"/>
    <col min="10761" max="10761" width="12.85546875" style="77" bestFit="1" customWidth="1"/>
    <col min="10762" max="10762" width="10.140625" style="77" bestFit="1" customWidth="1"/>
    <col min="10763" max="10763" width="6.85546875" style="77" customWidth="1"/>
    <col min="10764" max="10764" width="10.140625" style="77" bestFit="1" customWidth="1"/>
    <col min="10765" max="11008" width="6.85546875" style="77" customWidth="1"/>
    <col min="11009" max="11009" width="34.28515625" style="77" customWidth="1"/>
    <col min="11010" max="11010" width="16.28515625" style="77" bestFit="1" customWidth="1"/>
    <col min="11011" max="11011" width="13.85546875" style="77" bestFit="1" customWidth="1"/>
    <col min="11012" max="11012" width="65.5703125" style="77" customWidth="1"/>
    <col min="11013" max="11013" width="26.42578125" style="77" bestFit="1" customWidth="1"/>
    <col min="11014" max="11014" width="6.85546875" style="77" customWidth="1"/>
    <col min="11015" max="11015" width="13.85546875" style="77" bestFit="1" customWidth="1"/>
    <col min="11016" max="11016" width="12.42578125" style="77" bestFit="1" customWidth="1"/>
    <col min="11017" max="11017" width="12.85546875" style="77" bestFit="1" customWidth="1"/>
    <col min="11018" max="11018" width="10.140625" style="77" bestFit="1" customWidth="1"/>
    <col min="11019" max="11019" width="6.85546875" style="77" customWidth="1"/>
    <col min="11020" max="11020" width="10.140625" style="77" bestFit="1" customWidth="1"/>
    <col min="11021" max="11264" width="6.85546875" style="77" customWidth="1"/>
    <col min="11265" max="11265" width="34.28515625" style="77" customWidth="1"/>
    <col min="11266" max="11266" width="16.28515625" style="77" bestFit="1" customWidth="1"/>
    <col min="11267" max="11267" width="13.85546875" style="77" bestFit="1" customWidth="1"/>
    <col min="11268" max="11268" width="65.5703125" style="77" customWidth="1"/>
    <col min="11269" max="11269" width="26.42578125" style="77" bestFit="1" customWidth="1"/>
    <col min="11270" max="11270" width="6.85546875" style="77" customWidth="1"/>
    <col min="11271" max="11271" width="13.85546875" style="77" bestFit="1" customWidth="1"/>
    <col min="11272" max="11272" width="12.42578125" style="77" bestFit="1" customWidth="1"/>
    <col min="11273" max="11273" width="12.85546875" style="77" bestFit="1" customWidth="1"/>
    <col min="11274" max="11274" width="10.140625" style="77" bestFit="1" customWidth="1"/>
    <col min="11275" max="11275" width="6.85546875" style="77" customWidth="1"/>
    <col min="11276" max="11276" width="10.140625" style="77" bestFit="1" customWidth="1"/>
    <col min="11277" max="11520" width="6.85546875" style="77" customWidth="1"/>
    <col min="11521" max="11521" width="34.28515625" style="77" customWidth="1"/>
    <col min="11522" max="11522" width="16.28515625" style="77" bestFit="1" customWidth="1"/>
    <col min="11523" max="11523" width="13.85546875" style="77" bestFit="1" customWidth="1"/>
    <col min="11524" max="11524" width="65.5703125" style="77" customWidth="1"/>
    <col min="11525" max="11525" width="26.42578125" style="77" bestFit="1" customWidth="1"/>
    <col min="11526" max="11526" width="6.85546875" style="77" customWidth="1"/>
    <col min="11527" max="11527" width="13.85546875" style="77" bestFit="1" customWidth="1"/>
    <col min="11528" max="11528" width="12.42578125" style="77" bestFit="1" customWidth="1"/>
    <col min="11529" max="11529" width="12.85546875" style="77" bestFit="1" customWidth="1"/>
    <col min="11530" max="11530" width="10.140625" style="77" bestFit="1" customWidth="1"/>
    <col min="11531" max="11531" width="6.85546875" style="77" customWidth="1"/>
    <col min="11532" max="11532" width="10.140625" style="77" bestFit="1" customWidth="1"/>
    <col min="11533" max="11776" width="6.85546875" style="77" customWidth="1"/>
    <col min="11777" max="11777" width="34.28515625" style="77" customWidth="1"/>
    <col min="11778" max="11778" width="16.28515625" style="77" bestFit="1" customWidth="1"/>
    <col min="11779" max="11779" width="13.85546875" style="77" bestFit="1" customWidth="1"/>
    <col min="11780" max="11780" width="65.5703125" style="77" customWidth="1"/>
    <col min="11781" max="11781" width="26.42578125" style="77" bestFit="1" customWidth="1"/>
    <col min="11782" max="11782" width="6.85546875" style="77" customWidth="1"/>
    <col min="11783" max="11783" width="13.85546875" style="77" bestFit="1" customWidth="1"/>
    <col min="11784" max="11784" width="12.42578125" style="77" bestFit="1" customWidth="1"/>
    <col min="11785" max="11785" width="12.85546875" style="77" bestFit="1" customWidth="1"/>
    <col min="11786" max="11786" width="10.140625" style="77" bestFit="1" customWidth="1"/>
    <col min="11787" max="11787" width="6.85546875" style="77" customWidth="1"/>
    <col min="11788" max="11788" width="10.140625" style="77" bestFit="1" customWidth="1"/>
    <col min="11789" max="12032" width="6.85546875" style="77" customWidth="1"/>
    <col min="12033" max="12033" width="34.28515625" style="77" customWidth="1"/>
    <col min="12034" max="12034" width="16.28515625" style="77" bestFit="1" customWidth="1"/>
    <col min="12035" max="12035" width="13.85546875" style="77" bestFit="1" customWidth="1"/>
    <col min="12036" max="12036" width="65.5703125" style="77" customWidth="1"/>
    <col min="12037" max="12037" width="26.42578125" style="77" bestFit="1" customWidth="1"/>
    <col min="12038" max="12038" width="6.85546875" style="77" customWidth="1"/>
    <col min="12039" max="12039" width="13.85546875" style="77" bestFit="1" customWidth="1"/>
    <col min="12040" max="12040" width="12.42578125" style="77" bestFit="1" customWidth="1"/>
    <col min="12041" max="12041" width="12.85546875" style="77" bestFit="1" customWidth="1"/>
    <col min="12042" max="12042" width="10.140625" style="77" bestFit="1" customWidth="1"/>
    <col min="12043" max="12043" width="6.85546875" style="77" customWidth="1"/>
    <col min="12044" max="12044" width="10.140625" style="77" bestFit="1" customWidth="1"/>
    <col min="12045" max="12288" width="6.85546875" style="77" customWidth="1"/>
    <col min="12289" max="12289" width="34.28515625" style="77" customWidth="1"/>
    <col min="12290" max="12290" width="16.28515625" style="77" bestFit="1" customWidth="1"/>
    <col min="12291" max="12291" width="13.85546875" style="77" bestFit="1" customWidth="1"/>
    <col min="12292" max="12292" width="65.5703125" style="77" customWidth="1"/>
    <col min="12293" max="12293" width="26.42578125" style="77" bestFit="1" customWidth="1"/>
    <col min="12294" max="12294" width="6.85546875" style="77" customWidth="1"/>
    <col min="12295" max="12295" width="13.85546875" style="77" bestFit="1" customWidth="1"/>
    <col min="12296" max="12296" width="12.42578125" style="77" bestFit="1" customWidth="1"/>
    <col min="12297" max="12297" width="12.85546875" style="77" bestFit="1" customWidth="1"/>
    <col min="12298" max="12298" width="10.140625" style="77" bestFit="1" customWidth="1"/>
    <col min="12299" max="12299" width="6.85546875" style="77" customWidth="1"/>
    <col min="12300" max="12300" width="10.140625" style="77" bestFit="1" customWidth="1"/>
    <col min="12301" max="12544" width="6.85546875" style="77" customWidth="1"/>
    <col min="12545" max="12545" width="34.28515625" style="77" customWidth="1"/>
    <col min="12546" max="12546" width="16.28515625" style="77" bestFit="1" customWidth="1"/>
    <col min="12547" max="12547" width="13.85546875" style="77" bestFit="1" customWidth="1"/>
    <col min="12548" max="12548" width="65.5703125" style="77" customWidth="1"/>
    <col min="12549" max="12549" width="26.42578125" style="77" bestFit="1" customWidth="1"/>
    <col min="12550" max="12550" width="6.85546875" style="77" customWidth="1"/>
    <col min="12551" max="12551" width="13.85546875" style="77" bestFit="1" customWidth="1"/>
    <col min="12552" max="12552" width="12.42578125" style="77" bestFit="1" customWidth="1"/>
    <col min="12553" max="12553" width="12.85546875" style="77" bestFit="1" customWidth="1"/>
    <col min="12554" max="12554" width="10.140625" style="77" bestFit="1" customWidth="1"/>
    <col min="12555" max="12555" width="6.85546875" style="77" customWidth="1"/>
    <col min="12556" max="12556" width="10.140625" style="77" bestFit="1" customWidth="1"/>
    <col min="12557" max="12800" width="6.85546875" style="77" customWidth="1"/>
    <col min="12801" max="12801" width="34.28515625" style="77" customWidth="1"/>
    <col min="12802" max="12802" width="16.28515625" style="77" bestFit="1" customWidth="1"/>
    <col min="12803" max="12803" width="13.85546875" style="77" bestFit="1" customWidth="1"/>
    <col min="12804" max="12804" width="65.5703125" style="77" customWidth="1"/>
    <col min="12805" max="12805" width="26.42578125" style="77" bestFit="1" customWidth="1"/>
    <col min="12806" max="12806" width="6.85546875" style="77" customWidth="1"/>
    <col min="12807" max="12807" width="13.85546875" style="77" bestFit="1" customWidth="1"/>
    <col min="12808" max="12808" width="12.42578125" style="77" bestFit="1" customWidth="1"/>
    <col min="12809" max="12809" width="12.85546875" style="77" bestFit="1" customWidth="1"/>
    <col min="12810" max="12810" width="10.140625" style="77" bestFit="1" customWidth="1"/>
    <col min="12811" max="12811" width="6.85546875" style="77" customWidth="1"/>
    <col min="12812" max="12812" width="10.140625" style="77" bestFit="1" customWidth="1"/>
    <col min="12813" max="13056" width="6.85546875" style="77" customWidth="1"/>
    <col min="13057" max="13057" width="34.28515625" style="77" customWidth="1"/>
    <col min="13058" max="13058" width="16.28515625" style="77" bestFit="1" customWidth="1"/>
    <col min="13059" max="13059" width="13.85546875" style="77" bestFit="1" customWidth="1"/>
    <col min="13060" max="13060" width="65.5703125" style="77" customWidth="1"/>
    <col min="13061" max="13061" width="26.42578125" style="77" bestFit="1" customWidth="1"/>
    <col min="13062" max="13062" width="6.85546875" style="77" customWidth="1"/>
    <col min="13063" max="13063" width="13.85546875" style="77" bestFit="1" customWidth="1"/>
    <col min="13064" max="13064" width="12.42578125" style="77" bestFit="1" customWidth="1"/>
    <col min="13065" max="13065" width="12.85546875" style="77" bestFit="1" customWidth="1"/>
    <col min="13066" max="13066" width="10.140625" style="77" bestFit="1" customWidth="1"/>
    <col min="13067" max="13067" width="6.85546875" style="77" customWidth="1"/>
    <col min="13068" max="13068" width="10.140625" style="77" bestFit="1" customWidth="1"/>
    <col min="13069" max="13312" width="6.85546875" style="77" customWidth="1"/>
    <col min="13313" max="13313" width="34.28515625" style="77" customWidth="1"/>
    <col min="13314" max="13314" width="16.28515625" style="77" bestFit="1" customWidth="1"/>
    <col min="13315" max="13315" width="13.85546875" style="77" bestFit="1" customWidth="1"/>
    <col min="13316" max="13316" width="65.5703125" style="77" customWidth="1"/>
    <col min="13317" max="13317" width="26.42578125" style="77" bestFit="1" customWidth="1"/>
    <col min="13318" max="13318" width="6.85546875" style="77" customWidth="1"/>
    <col min="13319" max="13319" width="13.85546875" style="77" bestFit="1" customWidth="1"/>
    <col min="13320" max="13320" width="12.42578125" style="77" bestFit="1" customWidth="1"/>
    <col min="13321" max="13321" width="12.85546875" style="77" bestFit="1" customWidth="1"/>
    <col min="13322" max="13322" width="10.140625" style="77" bestFit="1" customWidth="1"/>
    <col min="13323" max="13323" width="6.85546875" style="77" customWidth="1"/>
    <col min="13324" max="13324" width="10.140625" style="77" bestFit="1" customWidth="1"/>
    <col min="13325" max="13568" width="6.85546875" style="77" customWidth="1"/>
    <col min="13569" max="13569" width="34.28515625" style="77" customWidth="1"/>
    <col min="13570" max="13570" width="16.28515625" style="77" bestFit="1" customWidth="1"/>
    <col min="13571" max="13571" width="13.85546875" style="77" bestFit="1" customWidth="1"/>
    <col min="13572" max="13572" width="65.5703125" style="77" customWidth="1"/>
    <col min="13573" max="13573" width="26.42578125" style="77" bestFit="1" customWidth="1"/>
    <col min="13574" max="13574" width="6.85546875" style="77" customWidth="1"/>
    <col min="13575" max="13575" width="13.85546875" style="77" bestFit="1" customWidth="1"/>
    <col min="13576" max="13576" width="12.42578125" style="77" bestFit="1" customWidth="1"/>
    <col min="13577" max="13577" width="12.85546875" style="77" bestFit="1" customWidth="1"/>
    <col min="13578" max="13578" width="10.140625" style="77" bestFit="1" customWidth="1"/>
    <col min="13579" max="13579" width="6.85546875" style="77" customWidth="1"/>
    <col min="13580" max="13580" width="10.140625" style="77" bestFit="1" customWidth="1"/>
    <col min="13581" max="13824" width="6.85546875" style="77" customWidth="1"/>
    <col min="13825" max="13825" width="34.28515625" style="77" customWidth="1"/>
    <col min="13826" max="13826" width="16.28515625" style="77" bestFit="1" customWidth="1"/>
    <col min="13827" max="13827" width="13.85546875" style="77" bestFit="1" customWidth="1"/>
    <col min="13828" max="13828" width="65.5703125" style="77" customWidth="1"/>
    <col min="13829" max="13829" width="26.42578125" style="77" bestFit="1" customWidth="1"/>
    <col min="13830" max="13830" width="6.85546875" style="77" customWidth="1"/>
    <col min="13831" max="13831" width="13.85546875" style="77" bestFit="1" customWidth="1"/>
    <col min="13832" max="13832" width="12.42578125" style="77" bestFit="1" customWidth="1"/>
    <col min="13833" max="13833" width="12.85546875" style="77" bestFit="1" customWidth="1"/>
    <col min="13834" max="13834" width="10.140625" style="77" bestFit="1" customWidth="1"/>
    <col min="13835" max="13835" width="6.85546875" style="77" customWidth="1"/>
    <col min="13836" max="13836" width="10.140625" style="77" bestFit="1" customWidth="1"/>
    <col min="13837" max="14080" width="6.85546875" style="77" customWidth="1"/>
    <col min="14081" max="14081" width="34.28515625" style="77" customWidth="1"/>
    <col min="14082" max="14082" width="16.28515625" style="77" bestFit="1" customWidth="1"/>
    <col min="14083" max="14083" width="13.85546875" style="77" bestFit="1" customWidth="1"/>
    <col min="14084" max="14084" width="65.5703125" style="77" customWidth="1"/>
    <col min="14085" max="14085" width="26.42578125" style="77" bestFit="1" customWidth="1"/>
    <col min="14086" max="14086" width="6.85546875" style="77" customWidth="1"/>
    <col min="14087" max="14087" width="13.85546875" style="77" bestFit="1" customWidth="1"/>
    <col min="14088" max="14088" width="12.42578125" style="77" bestFit="1" customWidth="1"/>
    <col min="14089" max="14089" width="12.85546875" style="77" bestFit="1" customWidth="1"/>
    <col min="14090" max="14090" width="10.140625" style="77" bestFit="1" customWidth="1"/>
    <col min="14091" max="14091" width="6.85546875" style="77" customWidth="1"/>
    <col min="14092" max="14092" width="10.140625" style="77" bestFit="1" customWidth="1"/>
    <col min="14093" max="14336" width="6.85546875" style="77" customWidth="1"/>
    <col min="14337" max="14337" width="34.28515625" style="77" customWidth="1"/>
    <col min="14338" max="14338" width="16.28515625" style="77" bestFit="1" customWidth="1"/>
    <col min="14339" max="14339" width="13.85546875" style="77" bestFit="1" customWidth="1"/>
    <col min="14340" max="14340" width="65.5703125" style="77" customWidth="1"/>
    <col min="14341" max="14341" width="26.42578125" style="77" bestFit="1" customWidth="1"/>
    <col min="14342" max="14342" width="6.85546875" style="77" customWidth="1"/>
    <col min="14343" max="14343" width="13.85546875" style="77" bestFit="1" customWidth="1"/>
    <col min="14344" max="14344" width="12.42578125" style="77" bestFit="1" customWidth="1"/>
    <col min="14345" max="14345" width="12.85546875" style="77" bestFit="1" customWidth="1"/>
    <col min="14346" max="14346" width="10.140625" style="77" bestFit="1" customWidth="1"/>
    <col min="14347" max="14347" width="6.85546875" style="77" customWidth="1"/>
    <col min="14348" max="14348" width="10.140625" style="77" bestFit="1" customWidth="1"/>
    <col min="14349" max="14592" width="6.85546875" style="77" customWidth="1"/>
    <col min="14593" max="14593" width="34.28515625" style="77" customWidth="1"/>
    <col min="14594" max="14594" width="16.28515625" style="77" bestFit="1" customWidth="1"/>
    <col min="14595" max="14595" width="13.85546875" style="77" bestFit="1" customWidth="1"/>
    <col min="14596" max="14596" width="65.5703125" style="77" customWidth="1"/>
    <col min="14597" max="14597" width="26.42578125" style="77" bestFit="1" customWidth="1"/>
    <col min="14598" max="14598" width="6.85546875" style="77" customWidth="1"/>
    <col min="14599" max="14599" width="13.85546875" style="77" bestFit="1" customWidth="1"/>
    <col min="14600" max="14600" width="12.42578125" style="77" bestFit="1" customWidth="1"/>
    <col min="14601" max="14601" width="12.85546875" style="77" bestFit="1" customWidth="1"/>
    <col min="14602" max="14602" width="10.140625" style="77" bestFit="1" customWidth="1"/>
    <col min="14603" max="14603" width="6.85546875" style="77" customWidth="1"/>
    <col min="14604" max="14604" width="10.140625" style="77" bestFit="1" customWidth="1"/>
    <col min="14605" max="14848" width="6.85546875" style="77" customWidth="1"/>
    <col min="14849" max="14849" width="34.28515625" style="77" customWidth="1"/>
    <col min="14850" max="14850" width="16.28515625" style="77" bestFit="1" customWidth="1"/>
    <col min="14851" max="14851" width="13.85546875" style="77" bestFit="1" customWidth="1"/>
    <col min="14852" max="14852" width="65.5703125" style="77" customWidth="1"/>
    <col min="14853" max="14853" width="26.42578125" style="77" bestFit="1" customWidth="1"/>
    <col min="14854" max="14854" width="6.85546875" style="77" customWidth="1"/>
    <col min="14855" max="14855" width="13.85546875" style="77" bestFit="1" customWidth="1"/>
    <col min="14856" max="14856" width="12.42578125" style="77" bestFit="1" customWidth="1"/>
    <col min="14857" max="14857" width="12.85546875" style="77" bestFit="1" customWidth="1"/>
    <col min="14858" max="14858" width="10.140625" style="77" bestFit="1" customWidth="1"/>
    <col min="14859" max="14859" width="6.85546875" style="77" customWidth="1"/>
    <col min="14860" max="14860" width="10.140625" style="77" bestFit="1" customWidth="1"/>
    <col min="14861" max="15104" width="6.85546875" style="77" customWidth="1"/>
    <col min="15105" max="15105" width="34.28515625" style="77" customWidth="1"/>
    <col min="15106" max="15106" width="16.28515625" style="77" bestFit="1" customWidth="1"/>
    <col min="15107" max="15107" width="13.85546875" style="77" bestFit="1" customWidth="1"/>
    <col min="15108" max="15108" width="65.5703125" style="77" customWidth="1"/>
    <col min="15109" max="15109" width="26.42578125" style="77" bestFit="1" customWidth="1"/>
    <col min="15110" max="15110" width="6.85546875" style="77" customWidth="1"/>
    <col min="15111" max="15111" width="13.85546875" style="77" bestFit="1" customWidth="1"/>
    <col min="15112" max="15112" width="12.42578125" style="77" bestFit="1" customWidth="1"/>
    <col min="15113" max="15113" width="12.85546875" style="77" bestFit="1" customWidth="1"/>
    <col min="15114" max="15114" width="10.140625" style="77" bestFit="1" customWidth="1"/>
    <col min="15115" max="15115" width="6.85546875" style="77" customWidth="1"/>
    <col min="15116" max="15116" width="10.140625" style="77" bestFit="1" customWidth="1"/>
    <col min="15117" max="15360" width="6.85546875" style="77" customWidth="1"/>
    <col min="15361" max="15361" width="34.28515625" style="77" customWidth="1"/>
    <col min="15362" max="15362" width="16.28515625" style="77" bestFit="1" customWidth="1"/>
    <col min="15363" max="15363" width="13.85546875" style="77" bestFit="1" customWidth="1"/>
    <col min="15364" max="15364" width="65.5703125" style="77" customWidth="1"/>
    <col min="15365" max="15365" width="26.42578125" style="77" bestFit="1" customWidth="1"/>
    <col min="15366" max="15366" width="6.85546875" style="77" customWidth="1"/>
    <col min="15367" max="15367" width="13.85546875" style="77" bestFit="1" customWidth="1"/>
    <col min="15368" max="15368" width="12.42578125" style="77" bestFit="1" customWidth="1"/>
    <col min="15369" max="15369" width="12.85546875" style="77" bestFit="1" customWidth="1"/>
    <col min="15370" max="15370" width="10.140625" style="77" bestFit="1" customWidth="1"/>
    <col min="15371" max="15371" width="6.85546875" style="77" customWidth="1"/>
    <col min="15372" max="15372" width="10.140625" style="77" bestFit="1" customWidth="1"/>
    <col min="15373" max="15616" width="6.85546875" style="77" customWidth="1"/>
    <col min="15617" max="15617" width="34.28515625" style="77" customWidth="1"/>
    <col min="15618" max="15618" width="16.28515625" style="77" bestFit="1" customWidth="1"/>
    <col min="15619" max="15619" width="13.85546875" style="77" bestFit="1" customWidth="1"/>
    <col min="15620" max="15620" width="65.5703125" style="77" customWidth="1"/>
    <col min="15621" max="15621" width="26.42578125" style="77" bestFit="1" customWidth="1"/>
    <col min="15622" max="15622" width="6.85546875" style="77" customWidth="1"/>
    <col min="15623" max="15623" width="13.85546875" style="77" bestFit="1" customWidth="1"/>
    <col min="15624" max="15624" width="12.42578125" style="77" bestFit="1" customWidth="1"/>
    <col min="15625" max="15625" width="12.85546875" style="77" bestFit="1" customWidth="1"/>
    <col min="15626" max="15626" width="10.140625" style="77" bestFit="1" customWidth="1"/>
    <col min="15627" max="15627" width="6.85546875" style="77" customWidth="1"/>
    <col min="15628" max="15628" width="10.140625" style="77" bestFit="1" customWidth="1"/>
    <col min="15629" max="15872" width="6.85546875" style="77" customWidth="1"/>
    <col min="15873" max="15873" width="34.28515625" style="77" customWidth="1"/>
    <col min="15874" max="15874" width="16.28515625" style="77" bestFit="1" customWidth="1"/>
    <col min="15875" max="15875" width="13.85546875" style="77" bestFit="1" customWidth="1"/>
    <col min="15876" max="15876" width="65.5703125" style="77" customWidth="1"/>
    <col min="15877" max="15877" width="26.42578125" style="77" bestFit="1" customWidth="1"/>
    <col min="15878" max="15878" width="6.85546875" style="77" customWidth="1"/>
    <col min="15879" max="15879" width="13.85546875" style="77" bestFit="1" customWidth="1"/>
    <col min="15880" max="15880" width="12.42578125" style="77" bestFit="1" customWidth="1"/>
    <col min="15881" max="15881" width="12.85546875" style="77" bestFit="1" customWidth="1"/>
    <col min="15882" max="15882" width="10.140625" style="77" bestFit="1" customWidth="1"/>
    <col min="15883" max="15883" width="6.85546875" style="77" customWidth="1"/>
    <col min="15884" max="15884" width="10.140625" style="77" bestFit="1" customWidth="1"/>
    <col min="15885" max="16128" width="6.85546875" style="77" customWidth="1"/>
    <col min="16129" max="16129" width="34.28515625" style="77" customWidth="1"/>
    <col min="16130" max="16130" width="16.28515625" style="77" bestFit="1" customWidth="1"/>
    <col min="16131" max="16131" width="13.85546875" style="77" bestFit="1" customWidth="1"/>
    <col min="16132" max="16132" width="65.5703125" style="77" customWidth="1"/>
    <col min="16133" max="16133" width="26.42578125" style="77" bestFit="1" customWidth="1"/>
    <col min="16134" max="16134" width="6.85546875" style="77" customWidth="1"/>
    <col min="16135" max="16135" width="13.85546875" style="77" bestFit="1" customWidth="1"/>
    <col min="16136" max="16136" width="12.42578125" style="77" bestFit="1" customWidth="1"/>
    <col min="16137" max="16137" width="12.85546875" style="77" bestFit="1" customWidth="1"/>
    <col min="16138" max="16138" width="10.140625" style="77" bestFit="1" customWidth="1"/>
    <col min="16139" max="16139" width="6.85546875" style="77" customWidth="1"/>
    <col min="16140" max="16140" width="10.140625" style="77" bestFit="1" customWidth="1"/>
    <col min="16141" max="16384" width="6.85546875" style="77" customWidth="1"/>
  </cols>
  <sheetData>
    <row r="1" spans="1:12" ht="12.75" customHeight="1" x14ac:dyDescent="0.25">
      <c r="A1" s="77" t="s">
        <v>239</v>
      </c>
      <c r="B1" s="77" t="s">
        <v>240</v>
      </c>
      <c r="C1" s="78">
        <v>45987</v>
      </c>
      <c r="D1" s="77" t="s">
        <v>241</v>
      </c>
      <c r="E1" s="77" t="s">
        <v>242</v>
      </c>
      <c r="F1" s="79">
        <v>0.66746527778013842</v>
      </c>
      <c r="G1" s="77" t="s">
        <v>243</v>
      </c>
      <c r="H1" s="77" t="s">
        <v>244</v>
      </c>
      <c r="I1" s="80">
        <v>1</v>
      </c>
      <c r="J1" s="77" t="s">
        <v>245</v>
      </c>
    </row>
    <row r="2" spans="1:12" ht="12.75" customHeight="1" x14ac:dyDescent="0.25">
      <c r="A2" s="77" t="s">
        <v>246</v>
      </c>
    </row>
    <row r="3" spans="1:12" ht="12.75" customHeight="1" x14ac:dyDescent="0.25">
      <c r="A3" s="77" t="s">
        <v>247</v>
      </c>
    </row>
    <row r="4" spans="1:12" ht="12.75" customHeight="1" x14ac:dyDescent="0.25">
      <c r="A4" s="77" t="s">
        <v>248</v>
      </c>
    </row>
    <row r="5" spans="1:12" ht="12.75" customHeight="1" x14ac:dyDescent="0.25">
      <c r="A5" s="77" t="s">
        <v>249</v>
      </c>
    </row>
    <row r="6" spans="1:12" ht="12.75" customHeight="1" x14ac:dyDescent="0.25">
      <c r="A6" s="77" t="s">
        <v>250</v>
      </c>
      <c r="B6" s="77" t="s">
        <v>251</v>
      </c>
      <c r="C6" s="77" t="s">
        <v>252</v>
      </c>
      <c r="D6" s="77" t="s">
        <v>253</v>
      </c>
      <c r="E6" s="77" t="s">
        <v>254</v>
      </c>
    </row>
    <row r="7" spans="1:12" ht="12.75" customHeight="1" x14ac:dyDescent="0.25">
      <c r="A7" s="77" t="s">
        <v>255</v>
      </c>
      <c r="B7" s="77" t="s">
        <v>256</v>
      </c>
      <c r="C7" s="77" t="s">
        <v>257</v>
      </c>
      <c r="D7" s="77" t="s">
        <v>258</v>
      </c>
      <c r="F7" s="77" t="s">
        <v>255</v>
      </c>
      <c r="G7" s="77" t="s">
        <v>256</v>
      </c>
      <c r="H7" s="77" t="s">
        <v>257</v>
      </c>
      <c r="I7" s="77" t="s">
        <v>258</v>
      </c>
    </row>
    <row r="8" spans="1:12" ht="12.75" customHeight="1" x14ac:dyDescent="0.25">
      <c r="A8" s="77" t="s">
        <v>16</v>
      </c>
      <c r="B8" s="77" t="s">
        <v>259</v>
      </c>
      <c r="C8" s="77" t="s">
        <v>260</v>
      </c>
      <c r="D8" s="81">
        <v>173228955.06999999</v>
      </c>
      <c r="E8" s="81">
        <v>9978900.6500000004</v>
      </c>
      <c r="F8" s="81">
        <v>0</v>
      </c>
      <c r="G8" s="81">
        <v>183207855.72</v>
      </c>
      <c r="I8" s="81">
        <v>341561.9</v>
      </c>
      <c r="J8" s="81">
        <v>19965.02</v>
      </c>
      <c r="K8" s="81">
        <v>0</v>
      </c>
      <c r="L8" s="81">
        <v>361526.92</v>
      </c>
    </row>
    <row r="9" spans="1:12" ht="12.75" customHeight="1" x14ac:dyDescent="0.25">
      <c r="A9" s="77" t="s">
        <v>261</v>
      </c>
      <c r="B9" s="77" t="s">
        <v>0</v>
      </c>
      <c r="C9" s="77" t="s">
        <v>262</v>
      </c>
      <c r="D9" s="77" t="s">
        <v>6</v>
      </c>
      <c r="E9" s="77" t="s">
        <v>263</v>
      </c>
      <c r="F9" s="77" t="s">
        <v>264</v>
      </c>
      <c r="G9" s="77" t="s">
        <v>265</v>
      </c>
      <c r="H9" s="77" t="s">
        <v>266</v>
      </c>
      <c r="I9" s="77" t="s">
        <v>267</v>
      </c>
      <c r="J9" s="77" t="s">
        <v>266</v>
      </c>
      <c r="K9" s="77" t="s">
        <v>267</v>
      </c>
    </row>
    <row r="10" spans="1:12" ht="12.75" customHeight="1" x14ac:dyDescent="0.25">
      <c r="A10" s="78">
        <v>45986</v>
      </c>
      <c r="B10" s="77" t="s">
        <v>13</v>
      </c>
      <c r="C10" s="77" t="s">
        <v>15</v>
      </c>
      <c r="D10" s="77" t="s">
        <v>70</v>
      </c>
      <c r="E10" s="77" t="s">
        <v>17</v>
      </c>
      <c r="F10" s="77" t="s">
        <v>268</v>
      </c>
      <c r="G10" s="77" t="s">
        <v>268</v>
      </c>
      <c r="H10" s="81">
        <v>165955.20000000001</v>
      </c>
      <c r="J10" s="81">
        <v>332.03</v>
      </c>
    </row>
    <row r="11" spans="1:12" ht="12.75" customHeight="1" x14ac:dyDescent="0.25">
      <c r="A11" s="78">
        <v>45986</v>
      </c>
      <c r="B11" s="77" t="s">
        <v>13</v>
      </c>
      <c r="C11" s="77" t="s">
        <v>15</v>
      </c>
      <c r="D11" s="77" t="s">
        <v>71</v>
      </c>
      <c r="E11" s="77" t="s">
        <v>17</v>
      </c>
      <c r="F11" s="77" t="s">
        <v>268</v>
      </c>
      <c r="G11" s="77" t="s">
        <v>268</v>
      </c>
      <c r="H11" s="81">
        <v>139027.54999999999</v>
      </c>
      <c r="J11" s="81">
        <v>278.16000000000003</v>
      </c>
    </row>
    <row r="12" spans="1:12" ht="12.75" customHeight="1" x14ac:dyDescent="0.25">
      <c r="A12" s="78">
        <v>45986</v>
      </c>
      <c r="B12" s="77" t="s">
        <v>13</v>
      </c>
      <c r="C12" s="77" t="s">
        <v>15</v>
      </c>
      <c r="D12" s="77" t="s">
        <v>72</v>
      </c>
      <c r="E12" s="77" t="s">
        <v>17</v>
      </c>
      <c r="F12" s="77" t="s">
        <v>268</v>
      </c>
      <c r="G12" s="77" t="s">
        <v>268</v>
      </c>
      <c r="H12" s="81">
        <v>70395.45</v>
      </c>
      <c r="J12" s="81">
        <v>140.84</v>
      </c>
    </row>
    <row r="13" spans="1:12" ht="12.75" customHeight="1" x14ac:dyDescent="0.25">
      <c r="A13" s="78">
        <v>45986</v>
      </c>
      <c r="B13" s="77" t="s">
        <v>13</v>
      </c>
      <c r="C13" s="77" t="s">
        <v>15</v>
      </c>
      <c r="D13" s="77" t="s">
        <v>73</v>
      </c>
      <c r="E13" s="77" t="s">
        <v>17</v>
      </c>
      <c r="F13" s="77" t="s">
        <v>268</v>
      </c>
      <c r="G13" s="77" t="s">
        <v>268</v>
      </c>
      <c r="H13" s="81">
        <v>26602.55</v>
      </c>
      <c r="J13" s="81">
        <v>53.22</v>
      </c>
    </row>
    <row r="14" spans="1:12" ht="12.75" customHeight="1" x14ac:dyDescent="0.25">
      <c r="A14" s="78">
        <v>45986</v>
      </c>
      <c r="B14" s="77" t="s">
        <v>13</v>
      </c>
      <c r="C14" s="77" t="s">
        <v>15</v>
      </c>
      <c r="D14" s="77" t="s">
        <v>65</v>
      </c>
      <c r="E14" s="77" t="s">
        <v>17</v>
      </c>
      <c r="F14" s="77" t="s">
        <v>268</v>
      </c>
      <c r="G14" s="77" t="s">
        <v>268</v>
      </c>
      <c r="H14" s="81">
        <v>50036.7</v>
      </c>
      <c r="J14" s="81">
        <v>100.11</v>
      </c>
    </row>
    <row r="15" spans="1:12" ht="12.75" customHeight="1" x14ac:dyDescent="0.25">
      <c r="A15" s="78">
        <v>45986</v>
      </c>
      <c r="B15" s="77" t="s">
        <v>13</v>
      </c>
      <c r="C15" s="77" t="s">
        <v>15</v>
      </c>
      <c r="D15" s="77" t="s">
        <v>66</v>
      </c>
      <c r="E15" s="77" t="s">
        <v>17</v>
      </c>
      <c r="F15" s="77" t="s">
        <v>268</v>
      </c>
      <c r="G15" s="77" t="s">
        <v>268</v>
      </c>
      <c r="H15" s="81">
        <v>243593.2</v>
      </c>
      <c r="J15" s="81">
        <v>487.36</v>
      </c>
    </row>
    <row r="16" spans="1:12" ht="12.75" customHeight="1" x14ac:dyDescent="0.25">
      <c r="A16" s="78">
        <v>45986</v>
      </c>
      <c r="B16" s="77" t="s">
        <v>13</v>
      </c>
      <c r="C16" s="77" t="s">
        <v>15</v>
      </c>
      <c r="D16" s="77" t="s">
        <v>67</v>
      </c>
      <c r="E16" s="77" t="s">
        <v>17</v>
      </c>
      <c r="F16" s="77" t="s">
        <v>268</v>
      </c>
      <c r="G16" s="77" t="s">
        <v>268</v>
      </c>
      <c r="H16" s="81">
        <v>36578.15</v>
      </c>
      <c r="J16" s="81">
        <v>73.180000000000007</v>
      </c>
    </row>
    <row r="17" spans="1:10" ht="12.75" customHeight="1" x14ac:dyDescent="0.25">
      <c r="A17" s="78">
        <v>45986</v>
      </c>
      <c r="B17" s="77" t="s">
        <v>13</v>
      </c>
      <c r="C17" s="77" t="s">
        <v>15</v>
      </c>
      <c r="D17" s="77" t="s">
        <v>68</v>
      </c>
      <c r="E17" s="77" t="s">
        <v>17</v>
      </c>
      <c r="F17" s="77" t="s">
        <v>268</v>
      </c>
      <c r="G17" s="77" t="s">
        <v>268</v>
      </c>
      <c r="H17" s="81">
        <v>95633.7</v>
      </c>
      <c r="J17" s="81">
        <v>191.34</v>
      </c>
    </row>
    <row r="18" spans="1:10" ht="12.75" customHeight="1" x14ac:dyDescent="0.25">
      <c r="A18" s="78">
        <v>45986</v>
      </c>
      <c r="B18" s="77" t="s">
        <v>13</v>
      </c>
      <c r="C18" s="77" t="s">
        <v>15</v>
      </c>
      <c r="D18" s="77" t="s">
        <v>18</v>
      </c>
      <c r="E18" s="77" t="s">
        <v>17</v>
      </c>
      <c r="F18" s="77" t="s">
        <v>268</v>
      </c>
      <c r="G18" s="77" t="s">
        <v>268</v>
      </c>
      <c r="H18" s="81">
        <v>588968.1</v>
      </c>
      <c r="J18" s="81">
        <v>1178.3599999999999</v>
      </c>
    </row>
    <row r="19" spans="1:10" ht="12.75" customHeight="1" x14ac:dyDescent="0.25">
      <c r="A19" s="78">
        <v>45986</v>
      </c>
      <c r="B19" s="77" t="s">
        <v>13</v>
      </c>
      <c r="C19" s="77" t="s">
        <v>15</v>
      </c>
      <c r="D19" s="77" t="s">
        <v>21</v>
      </c>
      <c r="E19" s="77" t="s">
        <v>17</v>
      </c>
      <c r="F19" s="77" t="s">
        <v>268</v>
      </c>
      <c r="G19" s="77" t="s">
        <v>268</v>
      </c>
      <c r="H19" s="81">
        <v>154988.54999999999</v>
      </c>
      <c r="J19" s="81">
        <v>310.08999999999997</v>
      </c>
    </row>
    <row r="20" spans="1:10" ht="12.75" customHeight="1" x14ac:dyDescent="0.25">
      <c r="A20" s="78">
        <v>45986</v>
      </c>
      <c r="B20" s="77" t="s">
        <v>13</v>
      </c>
      <c r="C20" s="77" t="s">
        <v>15</v>
      </c>
      <c r="D20" s="77" t="s">
        <v>22</v>
      </c>
      <c r="E20" s="77" t="s">
        <v>17</v>
      </c>
      <c r="F20" s="77" t="s">
        <v>268</v>
      </c>
      <c r="G20" s="77" t="s">
        <v>268</v>
      </c>
      <c r="H20" s="81">
        <v>517166.2</v>
      </c>
      <c r="J20" s="81">
        <v>1034.7</v>
      </c>
    </row>
    <row r="21" spans="1:10" ht="12.75" customHeight="1" x14ac:dyDescent="0.25">
      <c r="A21" s="78">
        <v>45986</v>
      </c>
      <c r="B21" s="77" t="s">
        <v>13</v>
      </c>
      <c r="C21" s="77" t="s">
        <v>15</v>
      </c>
      <c r="D21" s="77" t="s">
        <v>23</v>
      </c>
      <c r="E21" s="77" t="s">
        <v>17</v>
      </c>
      <c r="F21" s="77" t="s">
        <v>268</v>
      </c>
      <c r="G21" s="77" t="s">
        <v>268</v>
      </c>
      <c r="H21" s="81">
        <v>573666.05000000005</v>
      </c>
      <c r="J21" s="81">
        <v>1147.75</v>
      </c>
    </row>
    <row r="22" spans="1:10" ht="12.75" customHeight="1" x14ac:dyDescent="0.25">
      <c r="A22" s="78">
        <v>45986</v>
      </c>
      <c r="B22" s="77" t="s">
        <v>13</v>
      </c>
      <c r="C22" s="77" t="s">
        <v>15</v>
      </c>
      <c r="D22" s="77" t="s">
        <v>24</v>
      </c>
      <c r="E22" s="77" t="s">
        <v>17</v>
      </c>
      <c r="F22" s="77" t="s">
        <v>268</v>
      </c>
      <c r="G22" s="77" t="s">
        <v>268</v>
      </c>
      <c r="H22" s="81">
        <v>251538.5</v>
      </c>
      <c r="J22" s="81">
        <v>503.26</v>
      </c>
    </row>
    <row r="23" spans="1:10" ht="12.75" customHeight="1" x14ac:dyDescent="0.25">
      <c r="A23" s="78">
        <v>45986</v>
      </c>
      <c r="B23" s="77" t="s">
        <v>13</v>
      </c>
      <c r="C23" s="77" t="s">
        <v>15</v>
      </c>
      <c r="D23" s="77" t="s">
        <v>25</v>
      </c>
      <c r="E23" s="77" t="s">
        <v>17</v>
      </c>
      <c r="F23" s="77" t="s">
        <v>268</v>
      </c>
      <c r="G23" s="77" t="s">
        <v>268</v>
      </c>
      <c r="H23" s="81">
        <v>265957.7</v>
      </c>
      <c r="J23" s="81">
        <v>532.11</v>
      </c>
    </row>
    <row r="24" spans="1:10" ht="12.75" customHeight="1" x14ac:dyDescent="0.25">
      <c r="A24" s="78">
        <v>45986</v>
      </c>
      <c r="B24" s="77" t="s">
        <v>13</v>
      </c>
      <c r="C24" s="77" t="s">
        <v>15</v>
      </c>
      <c r="D24" s="77" t="s">
        <v>26</v>
      </c>
      <c r="E24" s="77" t="s">
        <v>17</v>
      </c>
      <c r="F24" s="77" t="s">
        <v>268</v>
      </c>
      <c r="G24" s="77" t="s">
        <v>268</v>
      </c>
      <c r="H24" s="81">
        <v>70195.899999999994</v>
      </c>
      <c r="J24" s="81">
        <v>140.44</v>
      </c>
    </row>
    <row r="25" spans="1:10" ht="12.75" customHeight="1" x14ac:dyDescent="0.25">
      <c r="A25" s="78">
        <v>45986</v>
      </c>
      <c r="B25" s="77" t="s">
        <v>13</v>
      </c>
      <c r="C25" s="77" t="s">
        <v>15</v>
      </c>
      <c r="D25" s="77" t="s">
        <v>30</v>
      </c>
      <c r="E25" s="77" t="s">
        <v>17</v>
      </c>
      <c r="F25" s="77" t="s">
        <v>268</v>
      </c>
      <c r="G25" s="77" t="s">
        <v>268</v>
      </c>
      <c r="H25" s="81">
        <v>38872.550000000003</v>
      </c>
      <c r="J25" s="81">
        <v>77.77</v>
      </c>
    </row>
    <row r="26" spans="1:10" ht="12.75" customHeight="1" x14ac:dyDescent="0.25">
      <c r="A26" s="78">
        <v>45986</v>
      </c>
      <c r="B26" s="77" t="s">
        <v>13</v>
      </c>
      <c r="C26" s="77" t="s">
        <v>15</v>
      </c>
      <c r="D26" s="77" t="s">
        <v>83</v>
      </c>
      <c r="E26" s="77" t="s">
        <v>17</v>
      </c>
      <c r="F26" s="77" t="s">
        <v>268</v>
      </c>
      <c r="G26" s="77" t="s">
        <v>268</v>
      </c>
      <c r="H26" s="81">
        <v>55033</v>
      </c>
      <c r="J26" s="81">
        <v>110.11</v>
      </c>
    </row>
    <row r="27" spans="1:10" ht="12.75" customHeight="1" x14ac:dyDescent="0.25">
      <c r="A27" s="78">
        <v>45986</v>
      </c>
      <c r="B27" s="77" t="s">
        <v>13</v>
      </c>
      <c r="C27" s="77" t="s">
        <v>15</v>
      </c>
      <c r="D27" s="77" t="s">
        <v>47</v>
      </c>
      <c r="E27" s="77" t="s">
        <v>17</v>
      </c>
      <c r="F27" s="77" t="s">
        <v>268</v>
      </c>
      <c r="G27" s="77" t="s">
        <v>268</v>
      </c>
      <c r="H27" s="81">
        <v>105110.55</v>
      </c>
      <c r="J27" s="81">
        <v>210.3</v>
      </c>
    </row>
    <row r="28" spans="1:10" ht="12.75" customHeight="1" x14ac:dyDescent="0.25">
      <c r="A28" s="78">
        <v>45986</v>
      </c>
      <c r="B28" s="77" t="s">
        <v>13</v>
      </c>
      <c r="C28" s="77" t="s">
        <v>15</v>
      </c>
      <c r="D28" s="77" t="s">
        <v>64</v>
      </c>
      <c r="E28" s="77" t="s">
        <v>17</v>
      </c>
      <c r="F28" s="77" t="s">
        <v>268</v>
      </c>
      <c r="G28" s="77" t="s">
        <v>268</v>
      </c>
      <c r="H28" s="81">
        <v>26602.55</v>
      </c>
      <c r="J28" s="81">
        <v>53.22</v>
      </c>
    </row>
    <row r="29" spans="1:10" ht="12.75" customHeight="1" x14ac:dyDescent="0.25">
      <c r="A29" s="78">
        <v>45986</v>
      </c>
      <c r="B29" s="77" t="s">
        <v>13</v>
      </c>
      <c r="C29" s="77" t="s">
        <v>15</v>
      </c>
      <c r="D29" s="77" t="s">
        <v>74</v>
      </c>
      <c r="E29" s="77" t="s">
        <v>17</v>
      </c>
      <c r="F29" s="77" t="s">
        <v>268</v>
      </c>
      <c r="G29" s="77" t="s">
        <v>268</v>
      </c>
      <c r="H29" s="81">
        <v>156684.4</v>
      </c>
      <c r="J29" s="81">
        <v>313.48</v>
      </c>
    </row>
    <row r="30" spans="1:10" ht="12.75" customHeight="1" x14ac:dyDescent="0.25">
      <c r="A30" s="78">
        <v>45986</v>
      </c>
      <c r="B30" s="77" t="s">
        <v>13</v>
      </c>
      <c r="C30" s="77" t="s">
        <v>15</v>
      </c>
      <c r="D30" s="77" t="s">
        <v>79</v>
      </c>
      <c r="E30" s="77" t="s">
        <v>17</v>
      </c>
      <c r="F30" s="77" t="s">
        <v>268</v>
      </c>
      <c r="G30" s="77" t="s">
        <v>268</v>
      </c>
      <c r="H30" s="81">
        <v>206122.8</v>
      </c>
      <c r="J30" s="81">
        <v>412.39</v>
      </c>
    </row>
    <row r="31" spans="1:10" ht="12.75" customHeight="1" x14ac:dyDescent="0.25">
      <c r="A31" s="78">
        <v>45986</v>
      </c>
      <c r="B31" s="77" t="s">
        <v>13</v>
      </c>
      <c r="C31" s="77" t="s">
        <v>15</v>
      </c>
      <c r="D31" s="77" t="s">
        <v>80</v>
      </c>
      <c r="E31" s="77" t="s">
        <v>17</v>
      </c>
      <c r="F31" s="77" t="s">
        <v>268</v>
      </c>
      <c r="G31" s="77" t="s">
        <v>268</v>
      </c>
      <c r="H31" s="81">
        <v>54634</v>
      </c>
      <c r="J31" s="81">
        <v>109.31</v>
      </c>
    </row>
    <row r="32" spans="1:10" ht="12.75" customHeight="1" x14ac:dyDescent="0.25">
      <c r="A32" s="78">
        <v>45986</v>
      </c>
      <c r="B32" s="77" t="s">
        <v>13</v>
      </c>
      <c r="C32" s="77" t="s">
        <v>15</v>
      </c>
      <c r="D32" s="77" t="s">
        <v>81</v>
      </c>
      <c r="E32" s="77" t="s">
        <v>17</v>
      </c>
      <c r="F32" s="77" t="s">
        <v>268</v>
      </c>
      <c r="G32" s="77" t="s">
        <v>268</v>
      </c>
      <c r="H32" s="81">
        <v>112692</v>
      </c>
      <c r="J32" s="81">
        <v>225.47</v>
      </c>
    </row>
    <row r="33" spans="1:10" ht="12.75" customHeight="1" x14ac:dyDescent="0.25">
      <c r="A33" s="78">
        <v>45986</v>
      </c>
      <c r="B33" s="77" t="s">
        <v>13</v>
      </c>
      <c r="C33" s="77" t="s">
        <v>15</v>
      </c>
      <c r="D33" s="77" t="s">
        <v>82</v>
      </c>
      <c r="E33" s="77" t="s">
        <v>17</v>
      </c>
      <c r="F33" s="77" t="s">
        <v>268</v>
      </c>
      <c r="G33" s="77" t="s">
        <v>268</v>
      </c>
      <c r="H33" s="81">
        <v>135236.85</v>
      </c>
      <c r="J33" s="81">
        <v>270.57</v>
      </c>
    </row>
    <row r="34" spans="1:10" ht="12.75" customHeight="1" x14ac:dyDescent="0.25">
      <c r="A34" s="78">
        <v>45986</v>
      </c>
      <c r="B34" s="77" t="s">
        <v>13</v>
      </c>
      <c r="C34" s="77" t="s">
        <v>15</v>
      </c>
      <c r="D34" s="77" t="s">
        <v>85</v>
      </c>
      <c r="E34" s="77" t="s">
        <v>17</v>
      </c>
      <c r="F34" s="77" t="s">
        <v>268</v>
      </c>
      <c r="G34" s="77" t="s">
        <v>268</v>
      </c>
      <c r="H34" s="81">
        <v>131645.65</v>
      </c>
      <c r="J34" s="81">
        <v>263.39</v>
      </c>
    </row>
    <row r="35" spans="1:10" ht="12.75" customHeight="1" x14ac:dyDescent="0.25">
      <c r="A35" s="78">
        <v>45986</v>
      </c>
      <c r="B35" s="77" t="s">
        <v>13</v>
      </c>
      <c r="C35" s="77" t="s">
        <v>15</v>
      </c>
      <c r="D35" s="77" t="s">
        <v>86</v>
      </c>
      <c r="E35" s="77" t="s">
        <v>17</v>
      </c>
      <c r="F35" s="77" t="s">
        <v>268</v>
      </c>
      <c r="G35" s="77" t="s">
        <v>268</v>
      </c>
      <c r="H35" s="81">
        <v>95833.25</v>
      </c>
      <c r="J35" s="81">
        <v>191.74</v>
      </c>
    </row>
    <row r="36" spans="1:10" ht="12.75" customHeight="1" x14ac:dyDescent="0.25">
      <c r="A36" s="78">
        <v>45986</v>
      </c>
      <c r="B36" s="77" t="s">
        <v>13</v>
      </c>
      <c r="C36" s="77" t="s">
        <v>15</v>
      </c>
      <c r="D36" s="77" t="s">
        <v>87</v>
      </c>
      <c r="E36" s="77" t="s">
        <v>17</v>
      </c>
      <c r="F36" s="77" t="s">
        <v>268</v>
      </c>
      <c r="G36" s="77" t="s">
        <v>268</v>
      </c>
      <c r="H36" s="81">
        <v>57227.65</v>
      </c>
      <c r="J36" s="81">
        <v>114.5</v>
      </c>
    </row>
    <row r="37" spans="1:10" ht="12.75" customHeight="1" x14ac:dyDescent="0.25">
      <c r="A37" s="78">
        <v>45986</v>
      </c>
      <c r="B37" s="77" t="s">
        <v>13</v>
      </c>
      <c r="C37" s="77" t="s">
        <v>15</v>
      </c>
      <c r="D37" s="77" t="s">
        <v>90</v>
      </c>
      <c r="E37" s="77" t="s">
        <v>17</v>
      </c>
      <c r="F37" s="77" t="s">
        <v>268</v>
      </c>
      <c r="G37" s="77" t="s">
        <v>268</v>
      </c>
      <c r="H37" s="81">
        <v>111494.9</v>
      </c>
      <c r="J37" s="81">
        <v>223.07</v>
      </c>
    </row>
    <row r="38" spans="1:10" ht="12.75" customHeight="1" x14ac:dyDescent="0.25">
      <c r="A38" s="78">
        <v>45986</v>
      </c>
      <c r="B38" s="77" t="s">
        <v>13</v>
      </c>
      <c r="C38" s="77" t="s">
        <v>15</v>
      </c>
      <c r="D38" s="77" t="s">
        <v>92</v>
      </c>
      <c r="E38" s="77" t="s">
        <v>17</v>
      </c>
      <c r="F38" s="77" t="s">
        <v>268</v>
      </c>
      <c r="G38" s="77" t="s">
        <v>268</v>
      </c>
      <c r="H38" s="81">
        <v>56130.3</v>
      </c>
      <c r="J38" s="81">
        <v>112.3</v>
      </c>
    </row>
    <row r="39" spans="1:10" ht="12.75" customHeight="1" x14ac:dyDescent="0.25">
      <c r="A39" s="78">
        <v>45986</v>
      </c>
      <c r="B39" s="77" t="s">
        <v>13</v>
      </c>
      <c r="C39" s="77" t="s">
        <v>15</v>
      </c>
      <c r="D39" s="77" t="s">
        <v>39</v>
      </c>
      <c r="E39" s="77" t="s">
        <v>17</v>
      </c>
      <c r="F39" s="77" t="s">
        <v>268</v>
      </c>
      <c r="G39" s="77" t="s">
        <v>268</v>
      </c>
      <c r="H39" s="81">
        <v>258895.25</v>
      </c>
      <c r="J39" s="81">
        <v>517.98</v>
      </c>
    </row>
    <row r="40" spans="1:10" ht="12.75" customHeight="1" x14ac:dyDescent="0.25">
      <c r="A40" s="78">
        <v>45986</v>
      </c>
      <c r="B40" s="77" t="s">
        <v>13</v>
      </c>
      <c r="C40" s="77" t="s">
        <v>15</v>
      </c>
      <c r="D40" s="77" t="s">
        <v>78</v>
      </c>
      <c r="E40" s="77" t="s">
        <v>17</v>
      </c>
      <c r="F40" s="77" t="s">
        <v>268</v>
      </c>
      <c r="G40" s="77" t="s">
        <v>268</v>
      </c>
      <c r="H40" s="81">
        <v>40133.599999999999</v>
      </c>
      <c r="J40" s="81">
        <v>80.3</v>
      </c>
    </row>
    <row r="41" spans="1:10" ht="12.75" customHeight="1" x14ac:dyDescent="0.25">
      <c r="A41" s="78">
        <v>45986</v>
      </c>
      <c r="B41" s="77" t="s">
        <v>13</v>
      </c>
      <c r="C41" s="77" t="s">
        <v>15</v>
      </c>
      <c r="D41" s="77" t="s">
        <v>84</v>
      </c>
      <c r="E41" s="77" t="s">
        <v>17</v>
      </c>
      <c r="F41" s="77" t="s">
        <v>268</v>
      </c>
      <c r="G41" s="77" t="s">
        <v>268</v>
      </c>
      <c r="H41" s="81">
        <v>22313.05</v>
      </c>
      <c r="J41" s="81">
        <v>44.64</v>
      </c>
    </row>
    <row r="42" spans="1:10" ht="12.75" customHeight="1" x14ac:dyDescent="0.25">
      <c r="A42" s="78">
        <v>45986</v>
      </c>
      <c r="B42" s="77" t="s">
        <v>13</v>
      </c>
      <c r="C42" s="77" t="s">
        <v>15</v>
      </c>
      <c r="D42" s="77" t="s">
        <v>99</v>
      </c>
      <c r="E42" s="77" t="s">
        <v>17</v>
      </c>
      <c r="F42" s="77" t="s">
        <v>268</v>
      </c>
      <c r="G42" s="77" t="s">
        <v>268</v>
      </c>
      <c r="H42" s="81">
        <v>30692.55</v>
      </c>
      <c r="J42" s="81">
        <v>61.41</v>
      </c>
    </row>
    <row r="43" spans="1:10" ht="12.75" customHeight="1" x14ac:dyDescent="0.25">
      <c r="A43" s="78">
        <v>45986</v>
      </c>
      <c r="B43" s="77" t="s">
        <v>13</v>
      </c>
      <c r="C43" s="77" t="s">
        <v>15</v>
      </c>
      <c r="D43" s="77" t="s">
        <v>100</v>
      </c>
      <c r="E43" s="77" t="s">
        <v>17</v>
      </c>
      <c r="F43" s="77" t="s">
        <v>268</v>
      </c>
      <c r="G43" s="77" t="s">
        <v>268</v>
      </c>
      <c r="H43" s="81">
        <v>40269.1</v>
      </c>
      <c r="J43" s="81">
        <v>80.569999999999993</v>
      </c>
    </row>
    <row r="44" spans="1:10" ht="12.75" customHeight="1" x14ac:dyDescent="0.25">
      <c r="A44" s="78">
        <v>45986</v>
      </c>
      <c r="B44" s="77" t="s">
        <v>13</v>
      </c>
      <c r="C44" s="77" t="s">
        <v>15</v>
      </c>
      <c r="D44" s="77" t="s">
        <v>101</v>
      </c>
      <c r="E44" s="77" t="s">
        <v>17</v>
      </c>
      <c r="F44" s="77" t="s">
        <v>268</v>
      </c>
      <c r="G44" s="77" t="s">
        <v>268</v>
      </c>
      <c r="H44" s="81">
        <v>35979.65</v>
      </c>
      <c r="J44" s="81">
        <v>71.989999999999995</v>
      </c>
    </row>
    <row r="45" spans="1:10" ht="12.75" customHeight="1" x14ac:dyDescent="0.25">
      <c r="A45" s="78">
        <v>45986</v>
      </c>
      <c r="B45" s="77" t="s">
        <v>13</v>
      </c>
      <c r="C45" s="77" t="s">
        <v>15</v>
      </c>
      <c r="D45" s="77" t="s">
        <v>102</v>
      </c>
      <c r="E45" s="77" t="s">
        <v>17</v>
      </c>
      <c r="F45" s="77" t="s">
        <v>268</v>
      </c>
      <c r="G45" s="77" t="s">
        <v>268</v>
      </c>
      <c r="H45" s="81">
        <v>9817.85</v>
      </c>
      <c r="J45" s="81">
        <v>19.64</v>
      </c>
    </row>
    <row r="46" spans="1:10" ht="12.75" customHeight="1" x14ac:dyDescent="0.25">
      <c r="A46" s="78">
        <v>45986</v>
      </c>
      <c r="B46" s="77" t="s">
        <v>13</v>
      </c>
      <c r="C46" s="77" t="s">
        <v>15</v>
      </c>
      <c r="D46" s="77" t="s">
        <v>103</v>
      </c>
      <c r="E46" s="77" t="s">
        <v>17</v>
      </c>
      <c r="F46" s="77" t="s">
        <v>268</v>
      </c>
      <c r="G46" s="77" t="s">
        <v>268</v>
      </c>
      <c r="H46" s="81">
        <v>101619.05</v>
      </c>
      <c r="J46" s="81">
        <v>203.31</v>
      </c>
    </row>
    <row r="47" spans="1:10" ht="12.75" customHeight="1" x14ac:dyDescent="0.25">
      <c r="A47" s="78">
        <v>45986</v>
      </c>
      <c r="B47" s="77" t="s">
        <v>13</v>
      </c>
      <c r="C47" s="77" t="s">
        <v>15</v>
      </c>
      <c r="D47" s="77" t="s">
        <v>104</v>
      </c>
      <c r="E47" s="77" t="s">
        <v>17</v>
      </c>
      <c r="F47" s="77" t="s">
        <v>268</v>
      </c>
      <c r="G47" s="77" t="s">
        <v>268</v>
      </c>
      <c r="H47" s="81">
        <v>32488.2</v>
      </c>
      <c r="J47" s="81">
        <v>65</v>
      </c>
    </row>
    <row r="48" spans="1:10" ht="12.75" customHeight="1" x14ac:dyDescent="0.25">
      <c r="A48" s="78">
        <v>45986</v>
      </c>
      <c r="B48" s="77" t="s">
        <v>13</v>
      </c>
      <c r="C48" s="77" t="s">
        <v>15</v>
      </c>
      <c r="D48" s="77" t="s">
        <v>105</v>
      </c>
      <c r="E48" s="77" t="s">
        <v>17</v>
      </c>
      <c r="F48" s="77" t="s">
        <v>268</v>
      </c>
      <c r="G48" s="77" t="s">
        <v>268</v>
      </c>
      <c r="H48" s="81">
        <v>76931.399999999994</v>
      </c>
      <c r="J48" s="81">
        <v>153.91999999999999</v>
      </c>
    </row>
    <row r="49" spans="1:10" ht="12.75" customHeight="1" x14ac:dyDescent="0.25">
      <c r="A49" s="78">
        <v>45986</v>
      </c>
      <c r="B49" s="77" t="s">
        <v>13</v>
      </c>
      <c r="C49" s="77" t="s">
        <v>15</v>
      </c>
      <c r="D49" s="77" t="s">
        <v>63</v>
      </c>
      <c r="E49" s="77" t="s">
        <v>17</v>
      </c>
      <c r="F49" s="77" t="s">
        <v>268</v>
      </c>
      <c r="G49" s="77" t="s">
        <v>268</v>
      </c>
      <c r="H49" s="81">
        <v>46952.800000000003</v>
      </c>
      <c r="J49" s="81">
        <v>93.94</v>
      </c>
    </row>
    <row r="50" spans="1:10" ht="12.75" customHeight="1" x14ac:dyDescent="0.25">
      <c r="A50" s="78">
        <v>45986</v>
      </c>
      <c r="B50" s="77" t="s">
        <v>13</v>
      </c>
      <c r="C50" s="77" t="s">
        <v>15</v>
      </c>
      <c r="D50" s="77" t="s">
        <v>48</v>
      </c>
      <c r="E50" s="77" t="s">
        <v>17</v>
      </c>
      <c r="F50" s="77" t="s">
        <v>268</v>
      </c>
      <c r="G50" s="77" t="s">
        <v>268</v>
      </c>
      <c r="H50" s="81">
        <v>13257.6</v>
      </c>
      <c r="J50" s="81">
        <v>26.52</v>
      </c>
    </row>
    <row r="51" spans="1:10" ht="12.75" customHeight="1" x14ac:dyDescent="0.25">
      <c r="A51" s="78">
        <v>45986</v>
      </c>
      <c r="B51" s="77" t="s">
        <v>13</v>
      </c>
      <c r="C51" s="77" t="s">
        <v>15</v>
      </c>
      <c r="D51" s="77" t="s">
        <v>49</v>
      </c>
      <c r="E51" s="77" t="s">
        <v>17</v>
      </c>
      <c r="F51" s="77" t="s">
        <v>268</v>
      </c>
      <c r="G51" s="77" t="s">
        <v>268</v>
      </c>
      <c r="H51" s="81">
        <v>15330.1</v>
      </c>
      <c r="J51" s="81">
        <v>30.67</v>
      </c>
    </row>
    <row r="52" spans="1:10" ht="12.75" customHeight="1" x14ac:dyDescent="0.25">
      <c r="A52" s="78">
        <v>45986</v>
      </c>
      <c r="B52" s="77" t="s">
        <v>13</v>
      </c>
      <c r="C52" s="77" t="s">
        <v>15</v>
      </c>
      <c r="D52" s="77" t="s">
        <v>50</v>
      </c>
      <c r="E52" s="77" t="s">
        <v>17</v>
      </c>
      <c r="F52" s="77" t="s">
        <v>268</v>
      </c>
      <c r="G52" s="77" t="s">
        <v>268</v>
      </c>
      <c r="H52" s="81">
        <v>32587.9</v>
      </c>
      <c r="J52" s="81">
        <v>65.2</v>
      </c>
    </row>
    <row r="53" spans="1:10" ht="12.75" customHeight="1" x14ac:dyDescent="0.25">
      <c r="A53" s="78">
        <v>45986</v>
      </c>
      <c r="B53" s="77" t="s">
        <v>13</v>
      </c>
      <c r="C53" s="77" t="s">
        <v>15</v>
      </c>
      <c r="D53" s="77" t="s">
        <v>51</v>
      </c>
      <c r="E53" s="77" t="s">
        <v>17</v>
      </c>
      <c r="F53" s="77" t="s">
        <v>268</v>
      </c>
      <c r="G53" s="77" t="s">
        <v>268</v>
      </c>
      <c r="H53" s="81">
        <v>95833.25</v>
      </c>
      <c r="J53" s="81">
        <v>191.74</v>
      </c>
    </row>
    <row r="54" spans="1:10" ht="12.75" customHeight="1" x14ac:dyDescent="0.25">
      <c r="A54" s="78">
        <v>45986</v>
      </c>
      <c r="B54" s="77" t="s">
        <v>13</v>
      </c>
      <c r="C54" s="77" t="s">
        <v>15</v>
      </c>
      <c r="D54" s="77" t="s">
        <v>54</v>
      </c>
      <c r="E54" s="77" t="s">
        <v>17</v>
      </c>
      <c r="F54" s="77" t="s">
        <v>268</v>
      </c>
      <c r="G54" s="77" t="s">
        <v>268</v>
      </c>
      <c r="H54" s="81">
        <v>126657.85</v>
      </c>
      <c r="J54" s="81">
        <v>253.41</v>
      </c>
    </row>
    <row r="55" spans="1:10" ht="12.75" customHeight="1" x14ac:dyDescent="0.25">
      <c r="A55" s="78">
        <v>45986</v>
      </c>
      <c r="B55" s="77" t="s">
        <v>13</v>
      </c>
      <c r="C55" s="77" t="s">
        <v>15</v>
      </c>
      <c r="D55" s="77" t="s">
        <v>56</v>
      </c>
      <c r="E55" s="77" t="s">
        <v>17</v>
      </c>
      <c r="F55" s="77" t="s">
        <v>268</v>
      </c>
      <c r="G55" s="77" t="s">
        <v>268</v>
      </c>
      <c r="H55" s="81">
        <v>20916.45</v>
      </c>
      <c r="J55" s="81">
        <v>41.85</v>
      </c>
    </row>
    <row r="56" spans="1:10" ht="12.75" customHeight="1" x14ac:dyDescent="0.25">
      <c r="A56" s="78">
        <v>45986</v>
      </c>
      <c r="B56" s="77" t="s">
        <v>13</v>
      </c>
      <c r="C56" s="77" t="s">
        <v>15</v>
      </c>
      <c r="D56" s="77" t="s">
        <v>57</v>
      </c>
      <c r="E56" s="77" t="s">
        <v>17</v>
      </c>
      <c r="F56" s="77" t="s">
        <v>268</v>
      </c>
      <c r="G56" s="77" t="s">
        <v>268</v>
      </c>
      <c r="H56" s="81">
        <v>16327.7</v>
      </c>
      <c r="J56" s="81">
        <v>32.67</v>
      </c>
    </row>
    <row r="57" spans="1:10" ht="12.75" customHeight="1" x14ac:dyDescent="0.25">
      <c r="A57" s="78">
        <v>45986</v>
      </c>
      <c r="B57" s="77" t="s">
        <v>13</v>
      </c>
      <c r="C57" s="77" t="s">
        <v>15</v>
      </c>
      <c r="D57" s="77" t="s">
        <v>58</v>
      </c>
      <c r="E57" s="77" t="s">
        <v>17</v>
      </c>
      <c r="F57" s="77" t="s">
        <v>268</v>
      </c>
      <c r="G57" s="77" t="s">
        <v>268</v>
      </c>
      <c r="H57" s="81">
        <v>62015.9</v>
      </c>
      <c r="J57" s="81">
        <v>124.08</v>
      </c>
    </row>
    <row r="58" spans="1:10" ht="12.75" customHeight="1" x14ac:dyDescent="0.25">
      <c r="A58" s="78">
        <v>45986</v>
      </c>
      <c r="B58" s="77" t="s">
        <v>13</v>
      </c>
      <c r="C58" s="77" t="s">
        <v>15</v>
      </c>
      <c r="D58" s="77" t="s">
        <v>59</v>
      </c>
      <c r="E58" s="77" t="s">
        <v>17</v>
      </c>
      <c r="F58" s="77" t="s">
        <v>268</v>
      </c>
      <c r="G58" s="77" t="s">
        <v>268</v>
      </c>
      <c r="H58" s="81">
        <v>12971</v>
      </c>
      <c r="J58" s="81">
        <v>25.95</v>
      </c>
    </row>
    <row r="59" spans="1:10" ht="12.75" customHeight="1" x14ac:dyDescent="0.25">
      <c r="A59" s="78">
        <v>45986</v>
      </c>
      <c r="B59" s="77" t="s">
        <v>13</v>
      </c>
      <c r="C59" s="77" t="s">
        <v>15</v>
      </c>
      <c r="D59" s="77" t="s">
        <v>60</v>
      </c>
      <c r="E59" s="77" t="s">
        <v>17</v>
      </c>
      <c r="F59" s="77" t="s">
        <v>268</v>
      </c>
      <c r="G59" s="77" t="s">
        <v>268</v>
      </c>
      <c r="H59" s="81">
        <v>22811.8</v>
      </c>
      <c r="J59" s="81">
        <v>45.64</v>
      </c>
    </row>
    <row r="60" spans="1:10" ht="12.75" customHeight="1" x14ac:dyDescent="0.25">
      <c r="A60" s="78">
        <v>45986</v>
      </c>
      <c r="B60" s="77" t="s">
        <v>13</v>
      </c>
      <c r="C60" s="77" t="s">
        <v>15</v>
      </c>
      <c r="D60" s="77" t="s">
        <v>61</v>
      </c>
      <c r="E60" s="77" t="s">
        <v>17</v>
      </c>
      <c r="F60" s="77" t="s">
        <v>268</v>
      </c>
      <c r="G60" s="77" t="s">
        <v>268</v>
      </c>
      <c r="H60" s="81">
        <v>83164.2</v>
      </c>
      <c r="J60" s="81">
        <v>166.39</v>
      </c>
    </row>
    <row r="61" spans="1:10" ht="12.75" customHeight="1" x14ac:dyDescent="0.25">
      <c r="A61" s="78">
        <v>45986</v>
      </c>
      <c r="B61" s="77" t="s">
        <v>13</v>
      </c>
      <c r="C61" s="77" t="s">
        <v>15</v>
      </c>
      <c r="D61" s="77" t="s">
        <v>62</v>
      </c>
      <c r="E61" s="77" t="s">
        <v>17</v>
      </c>
      <c r="F61" s="77" t="s">
        <v>268</v>
      </c>
      <c r="G61" s="77" t="s">
        <v>268</v>
      </c>
      <c r="H61" s="81">
        <v>111694.45</v>
      </c>
      <c r="J61" s="81">
        <v>223.47</v>
      </c>
    </row>
    <row r="62" spans="1:10" ht="12.75" customHeight="1" x14ac:dyDescent="0.25">
      <c r="A62" s="78">
        <v>45986</v>
      </c>
      <c r="B62" s="77" t="s">
        <v>13</v>
      </c>
      <c r="C62" s="77" t="s">
        <v>15</v>
      </c>
      <c r="D62" s="77" t="s">
        <v>31</v>
      </c>
      <c r="E62" s="77" t="s">
        <v>17</v>
      </c>
      <c r="F62" s="77" t="s">
        <v>268</v>
      </c>
      <c r="G62" s="77" t="s">
        <v>268</v>
      </c>
      <c r="H62" s="81">
        <v>18023.55</v>
      </c>
      <c r="J62" s="81">
        <v>36.06</v>
      </c>
    </row>
    <row r="63" spans="1:10" ht="12.75" customHeight="1" x14ac:dyDescent="0.25">
      <c r="A63" s="78">
        <v>45986</v>
      </c>
      <c r="B63" s="77" t="s">
        <v>13</v>
      </c>
      <c r="C63" s="77" t="s">
        <v>15</v>
      </c>
      <c r="D63" s="77" t="s">
        <v>32</v>
      </c>
      <c r="E63" s="77" t="s">
        <v>17</v>
      </c>
      <c r="F63" s="77" t="s">
        <v>268</v>
      </c>
      <c r="G63" s="77" t="s">
        <v>268</v>
      </c>
      <c r="H63" s="81">
        <v>43361.55</v>
      </c>
      <c r="J63" s="81">
        <v>86.75</v>
      </c>
    </row>
    <row r="64" spans="1:10" ht="12.75" customHeight="1" x14ac:dyDescent="0.25">
      <c r="A64" s="78">
        <v>45986</v>
      </c>
      <c r="B64" s="77" t="s">
        <v>13</v>
      </c>
      <c r="C64" s="77" t="s">
        <v>15</v>
      </c>
      <c r="D64" s="77" t="s">
        <v>40</v>
      </c>
      <c r="E64" s="77" t="s">
        <v>17</v>
      </c>
      <c r="F64" s="77" t="s">
        <v>268</v>
      </c>
      <c r="G64" s="77" t="s">
        <v>268</v>
      </c>
      <c r="H64" s="81">
        <v>55930.85</v>
      </c>
      <c r="J64" s="81">
        <v>111.9</v>
      </c>
    </row>
    <row r="65" spans="1:10" ht="12.75" customHeight="1" x14ac:dyDescent="0.25">
      <c r="A65" s="78">
        <v>45986</v>
      </c>
      <c r="B65" s="77" t="s">
        <v>13</v>
      </c>
      <c r="C65" s="77" t="s">
        <v>15</v>
      </c>
      <c r="D65" s="77" t="s">
        <v>41</v>
      </c>
      <c r="E65" s="77" t="s">
        <v>17</v>
      </c>
      <c r="F65" s="77" t="s">
        <v>268</v>
      </c>
      <c r="G65" s="77" t="s">
        <v>268</v>
      </c>
      <c r="H65" s="81">
        <v>273706.8</v>
      </c>
      <c r="J65" s="81">
        <v>547.61</v>
      </c>
    </row>
    <row r="66" spans="1:10" ht="12.75" customHeight="1" x14ac:dyDescent="0.25">
      <c r="A66" s="78">
        <v>45986</v>
      </c>
      <c r="B66" s="77" t="s">
        <v>13</v>
      </c>
      <c r="C66" s="77" t="s">
        <v>15</v>
      </c>
      <c r="D66" s="77" t="s">
        <v>42</v>
      </c>
      <c r="E66" s="77" t="s">
        <v>17</v>
      </c>
      <c r="F66" s="77" t="s">
        <v>268</v>
      </c>
      <c r="G66" s="77" t="s">
        <v>268</v>
      </c>
      <c r="H66" s="81">
        <v>37276.449999999997</v>
      </c>
      <c r="J66" s="81">
        <v>74.58</v>
      </c>
    </row>
    <row r="67" spans="1:10" ht="12.75" customHeight="1" x14ac:dyDescent="0.25">
      <c r="A67" s="78">
        <v>45986</v>
      </c>
      <c r="B67" s="77" t="s">
        <v>13</v>
      </c>
      <c r="C67" s="77" t="s">
        <v>15</v>
      </c>
      <c r="D67" s="77" t="s">
        <v>43</v>
      </c>
      <c r="E67" s="77" t="s">
        <v>17</v>
      </c>
      <c r="F67" s="77" t="s">
        <v>268</v>
      </c>
      <c r="G67" s="77" t="s">
        <v>268</v>
      </c>
      <c r="H67" s="81">
        <v>205730.45</v>
      </c>
      <c r="J67" s="81">
        <v>411.61</v>
      </c>
    </row>
    <row r="68" spans="1:10" ht="12.75" customHeight="1" x14ac:dyDescent="0.25">
      <c r="A68" s="78">
        <v>45986</v>
      </c>
      <c r="B68" s="77" t="s">
        <v>13</v>
      </c>
      <c r="C68" s="77" t="s">
        <v>15</v>
      </c>
      <c r="D68" s="77" t="s">
        <v>44</v>
      </c>
      <c r="E68" s="77" t="s">
        <v>17</v>
      </c>
      <c r="F68" s="77" t="s">
        <v>268</v>
      </c>
      <c r="G68" s="77" t="s">
        <v>268</v>
      </c>
      <c r="H68" s="81">
        <v>68899.100000000006</v>
      </c>
      <c r="J68" s="81">
        <v>137.85</v>
      </c>
    </row>
    <row r="69" spans="1:10" ht="12.75" customHeight="1" x14ac:dyDescent="0.25">
      <c r="A69" s="78">
        <v>45986</v>
      </c>
      <c r="B69" s="77" t="s">
        <v>13</v>
      </c>
      <c r="C69" s="77" t="s">
        <v>15</v>
      </c>
      <c r="D69" s="77" t="s">
        <v>45</v>
      </c>
      <c r="E69" s="77" t="s">
        <v>17</v>
      </c>
      <c r="F69" s="77" t="s">
        <v>268</v>
      </c>
      <c r="G69" s="77" t="s">
        <v>268</v>
      </c>
      <c r="H69" s="81">
        <v>115584.9</v>
      </c>
      <c r="J69" s="81">
        <v>231.25</v>
      </c>
    </row>
    <row r="70" spans="1:10" ht="12.75" customHeight="1" x14ac:dyDescent="0.25">
      <c r="A70" s="78">
        <v>45986</v>
      </c>
      <c r="B70" s="77" t="s">
        <v>13</v>
      </c>
      <c r="C70" s="77" t="s">
        <v>15</v>
      </c>
      <c r="D70" s="77" t="s">
        <v>46</v>
      </c>
      <c r="E70" s="77" t="s">
        <v>17</v>
      </c>
      <c r="F70" s="77" t="s">
        <v>268</v>
      </c>
      <c r="G70" s="77" t="s">
        <v>268</v>
      </c>
      <c r="H70" s="81">
        <v>600080.69999999995</v>
      </c>
      <c r="J70" s="81">
        <v>1200.5899999999999</v>
      </c>
    </row>
    <row r="71" spans="1:10" ht="12.75" customHeight="1" x14ac:dyDescent="0.25">
      <c r="A71" s="78">
        <v>45986</v>
      </c>
      <c r="B71" s="77" t="s">
        <v>13</v>
      </c>
      <c r="C71" s="77" t="s">
        <v>15</v>
      </c>
      <c r="D71" s="77" t="s">
        <v>33</v>
      </c>
      <c r="E71" s="77" t="s">
        <v>17</v>
      </c>
      <c r="F71" s="77" t="s">
        <v>268</v>
      </c>
      <c r="G71" s="77" t="s">
        <v>268</v>
      </c>
      <c r="H71" s="81">
        <v>213381.45</v>
      </c>
      <c r="J71" s="81">
        <v>426.92</v>
      </c>
    </row>
    <row r="72" spans="1:10" ht="12.75" customHeight="1" x14ac:dyDescent="0.25">
      <c r="A72" s="78">
        <v>45986</v>
      </c>
      <c r="B72" s="77" t="s">
        <v>13</v>
      </c>
      <c r="C72" s="77" t="s">
        <v>15</v>
      </c>
      <c r="D72" s="77" t="s">
        <v>34</v>
      </c>
      <c r="E72" s="77" t="s">
        <v>17</v>
      </c>
      <c r="F72" s="77" t="s">
        <v>268</v>
      </c>
      <c r="G72" s="77" t="s">
        <v>268</v>
      </c>
      <c r="H72" s="81">
        <v>81568.100000000006</v>
      </c>
      <c r="J72" s="81">
        <v>163.19</v>
      </c>
    </row>
    <row r="73" spans="1:10" ht="12.75" customHeight="1" x14ac:dyDescent="0.25">
      <c r="A73" s="78">
        <v>45986</v>
      </c>
      <c r="B73" s="77" t="s">
        <v>13</v>
      </c>
      <c r="C73" s="77" t="s">
        <v>15</v>
      </c>
      <c r="D73" s="77" t="s">
        <v>35</v>
      </c>
      <c r="E73" s="77" t="s">
        <v>17</v>
      </c>
      <c r="F73" s="77" t="s">
        <v>268</v>
      </c>
      <c r="G73" s="77" t="s">
        <v>268</v>
      </c>
      <c r="H73" s="81">
        <v>838018.6</v>
      </c>
      <c r="J73" s="81">
        <v>1676.64</v>
      </c>
    </row>
    <row r="74" spans="1:10" ht="12.75" customHeight="1" x14ac:dyDescent="0.25">
      <c r="A74" s="78">
        <v>45986</v>
      </c>
      <c r="B74" s="77" t="s">
        <v>13</v>
      </c>
      <c r="C74" s="77" t="s">
        <v>15</v>
      </c>
      <c r="D74" s="77" t="s">
        <v>38</v>
      </c>
      <c r="E74" s="77" t="s">
        <v>17</v>
      </c>
      <c r="F74" s="77" t="s">
        <v>268</v>
      </c>
      <c r="G74" s="77" t="s">
        <v>268</v>
      </c>
      <c r="H74" s="81">
        <v>141022.70000000001</v>
      </c>
      <c r="J74" s="81">
        <v>282.14999999999998</v>
      </c>
    </row>
    <row r="75" spans="1:10" ht="12.75" customHeight="1" x14ac:dyDescent="0.25">
      <c r="A75" s="78">
        <v>45986</v>
      </c>
      <c r="B75" s="77" t="s">
        <v>13</v>
      </c>
      <c r="C75" s="77" t="s">
        <v>15</v>
      </c>
      <c r="D75" s="77" t="s">
        <v>55</v>
      </c>
      <c r="E75" s="77" t="s">
        <v>17</v>
      </c>
      <c r="F75" s="77" t="s">
        <v>268</v>
      </c>
      <c r="G75" s="77" t="s">
        <v>268</v>
      </c>
      <c r="H75" s="81">
        <v>60419.85</v>
      </c>
      <c r="J75" s="81">
        <v>120.88</v>
      </c>
    </row>
    <row r="76" spans="1:10" ht="12.75" customHeight="1" x14ac:dyDescent="0.25">
      <c r="A76" s="78">
        <v>45986</v>
      </c>
      <c r="B76" s="77" t="s">
        <v>13</v>
      </c>
      <c r="C76" s="77" t="s">
        <v>15</v>
      </c>
      <c r="D76" s="77" t="s">
        <v>69</v>
      </c>
      <c r="E76" s="77" t="s">
        <v>17</v>
      </c>
      <c r="F76" s="77" t="s">
        <v>268</v>
      </c>
      <c r="G76" s="77" t="s">
        <v>268</v>
      </c>
      <c r="H76" s="81">
        <v>75482.95</v>
      </c>
      <c r="J76" s="81">
        <v>151.02000000000001</v>
      </c>
    </row>
    <row r="77" spans="1:10" ht="12.75" customHeight="1" x14ac:dyDescent="0.25">
      <c r="A77" s="78">
        <v>45986</v>
      </c>
      <c r="B77" s="77" t="s">
        <v>13</v>
      </c>
      <c r="C77" s="77" t="s">
        <v>15</v>
      </c>
      <c r="D77" s="77" t="s">
        <v>91</v>
      </c>
      <c r="E77" s="77" t="s">
        <v>17</v>
      </c>
      <c r="F77" s="77" t="s">
        <v>268</v>
      </c>
      <c r="G77" s="77" t="s">
        <v>268</v>
      </c>
      <c r="H77" s="81">
        <v>305076.90000000002</v>
      </c>
      <c r="J77" s="81">
        <v>610.37</v>
      </c>
    </row>
    <row r="78" spans="1:10" ht="12.75" customHeight="1" x14ac:dyDescent="0.25">
      <c r="A78" s="78">
        <v>45986</v>
      </c>
      <c r="B78" s="77" t="s">
        <v>13</v>
      </c>
      <c r="C78" s="77" t="s">
        <v>15</v>
      </c>
      <c r="D78" s="77" t="s">
        <v>93</v>
      </c>
      <c r="E78" s="77" t="s">
        <v>17</v>
      </c>
      <c r="F78" s="77" t="s">
        <v>268</v>
      </c>
      <c r="G78" s="77" t="s">
        <v>268</v>
      </c>
      <c r="H78" s="81">
        <v>72590.05</v>
      </c>
      <c r="J78" s="81">
        <v>145.22999999999999</v>
      </c>
    </row>
    <row r="79" spans="1:10" ht="12.75" customHeight="1" x14ac:dyDescent="0.25">
      <c r="A79" s="78">
        <v>45986</v>
      </c>
      <c r="B79" s="77" t="s">
        <v>13</v>
      </c>
      <c r="C79" s="77" t="s">
        <v>15</v>
      </c>
      <c r="D79" s="77" t="s">
        <v>94</v>
      </c>
      <c r="E79" s="77" t="s">
        <v>17</v>
      </c>
      <c r="F79" s="77" t="s">
        <v>268</v>
      </c>
      <c r="G79" s="77" t="s">
        <v>268</v>
      </c>
      <c r="H79" s="81">
        <v>8599.5499999999993</v>
      </c>
      <c r="J79" s="81">
        <v>17.21</v>
      </c>
    </row>
    <row r="80" spans="1:10" ht="12.75" customHeight="1" x14ac:dyDescent="0.25">
      <c r="A80" s="78">
        <v>45986</v>
      </c>
      <c r="B80" s="77" t="s">
        <v>13</v>
      </c>
      <c r="C80" s="77" t="s">
        <v>15</v>
      </c>
      <c r="D80" s="77" t="s">
        <v>95</v>
      </c>
      <c r="E80" s="77" t="s">
        <v>17</v>
      </c>
      <c r="F80" s="77" t="s">
        <v>268</v>
      </c>
      <c r="G80" s="77" t="s">
        <v>268</v>
      </c>
      <c r="H80" s="81">
        <v>22412.799999999999</v>
      </c>
      <c r="J80" s="81">
        <v>44.84</v>
      </c>
    </row>
    <row r="81" spans="1:10" ht="12.75" customHeight="1" x14ac:dyDescent="0.25">
      <c r="A81" s="78">
        <v>45986</v>
      </c>
      <c r="B81" s="77" t="s">
        <v>13</v>
      </c>
      <c r="C81" s="77" t="s">
        <v>15</v>
      </c>
      <c r="D81" s="77" t="s">
        <v>96</v>
      </c>
      <c r="E81" s="77" t="s">
        <v>17</v>
      </c>
      <c r="F81" s="77" t="s">
        <v>268</v>
      </c>
      <c r="G81" s="77" t="s">
        <v>268</v>
      </c>
      <c r="H81" s="81">
        <v>42563.5</v>
      </c>
      <c r="J81" s="81">
        <v>85.16</v>
      </c>
    </row>
    <row r="82" spans="1:10" ht="12.75" customHeight="1" x14ac:dyDescent="0.25">
      <c r="A82" s="78">
        <v>45986</v>
      </c>
      <c r="B82" s="77" t="s">
        <v>13</v>
      </c>
      <c r="C82" s="77" t="s">
        <v>15</v>
      </c>
      <c r="D82" s="77" t="s">
        <v>97</v>
      </c>
      <c r="E82" s="77" t="s">
        <v>17</v>
      </c>
      <c r="F82" s="77" t="s">
        <v>268</v>
      </c>
      <c r="G82" s="77" t="s">
        <v>268</v>
      </c>
      <c r="H82" s="81">
        <v>183758</v>
      </c>
      <c r="J82" s="81">
        <v>367.65</v>
      </c>
    </row>
    <row r="83" spans="1:10" ht="12.75" customHeight="1" x14ac:dyDescent="0.25">
      <c r="A83" s="78">
        <v>45986</v>
      </c>
      <c r="B83" s="77" t="s">
        <v>13</v>
      </c>
      <c r="C83" s="77" t="s">
        <v>15</v>
      </c>
      <c r="D83" s="77" t="s">
        <v>98</v>
      </c>
      <c r="E83" s="77" t="s">
        <v>17</v>
      </c>
      <c r="F83" s="77" t="s">
        <v>268</v>
      </c>
      <c r="G83" s="77" t="s">
        <v>268</v>
      </c>
      <c r="H83" s="81">
        <v>223733</v>
      </c>
      <c r="J83" s="81">
        <v>447.63</v>
      </c>
    </row>
    <row r="84" spans="1:10" ht="12.75" customHeight="1" x14ac:dyDescent="0.25">
      <c r="A84" s="78">
        <v>45986</v>
      </c>
      <c r="B84" s="77" t="s">
        <v>269</v>
      </c>
      <c r="C84" s="77" t="s">
        <v>15</v>
      </c>
      <c r="D84" s="77" t="s">
        <v>270</v>
      </c>
      <c r="E84" s="77" t="s">
        <v>271</v>
      </c>
      <c r="F84" s="77" t="s">
        <v>272</v>
      </c>
      <c r="G84" s="77" t="s">
        <v>272</v>
      </c>
      <c r="H84" s="81">
        <v>261425.95</v>
      </c>
      <c r="J84" s="81">
        <v>523.04</v>
      </c>
    </row>
    <row r="85" spans="1:10" ht="12.75" customHeight="1" x14ac:dyDescent="0.25">
      <c r="A85" s="78">
        <v>45986</v>
      </c>
      <c r="B85" s="77" t="s">
        <v>273</v>
      </c>
      <c r="C85" s="77" t="s">
        <v>15</v>
      </c>
      <c r="D85" s="77" t="s">
        <v>274</v>
      </c>
      <c r="E85" s="77" t="s">
        <v>275</v>
      </c>
      <c r="F85" s="77" t="s">
        <v>272</v>
      </c>
      <c r="G85" s="77" t="s">
        <v>272</v>
      </c>
      <c r="H85" s="81">
        <v>70468.399999999994</v>
      </c>
      <c r="J85" s="81">
        <v>140.99</v>
      </c>
    </row>
    <row r="86" spans="1:10" ht="12.75" customHeight="1" x14ac:dyDescent="0.25">
      <c r="A86" s="78">
        <v>45986</v>
      </c>
      <c r="B86" s="77" t="s">
        <v>276</v>
      </c>
      <c r="C86" s="77" t="s">
        <v>15</v>
      </c>
      <c r="D86" s="77" t="s">
        <v>277</v>
      </c>
      <c r="E86" s="77" t="s">
        <v>278</v>
      </c>
      <c r="F86" s="77" t="s">
        <v>272</v>
      </c>
      <c r="G86" s="77" t="s">
        <v>272</v>
      </c>
      <c r="H86" s="81">
        <v>56499.85</v>
      </c>
      <c r="J86" s="81">
        <v>113.04</v>
      </c>
    </row>
    <row r="87" spans="1:10" ht="12.75" customHeight="1" x14ac:dyDescent="0.25">
      <c r="A87" s="77" t="s">
        <v>279</v>
      </c>
      <c r="B87" s="80">
        <v>1</v>
      </c>
      <c r="C87" s="81">
        <v>173228955.06999999</v>
      </c>
      <c r="D87" s="81">
        <v>9978900.6500000004</v>
      </c>
      <c r="E87" s="81">
        <v>0</v>
      </c>
      <c r="F87" s="81">
        <v>183207855.72</v>
      </c>
      <c r="G87" s="81">
        <v>341561.9</v>
      </c>
      <c r="H87" s="81">
        <v>19965.02</v>
      </c>
      <c r="I87" s="81">
        <v>0</v>
      </c>
      <c r="J87" s="81">
        <v>361526.92</v>
      </c>
    </row>
    <row r="88" spans="1:10" ht="12.75" customHeight="1" thickBot="1" x14ac:dyDescent="0.3"/>
    <row r="89" spans="1:10" ht="12.75" customHeight="1" x14ac:dyDescent="0.25">
      <c r="G89" s="121" t="s">
        <v>291</v>
      </c>
      <c r="H89" s="118">
        <f>19965.02-J84-J85-J86</f>
        <v>19187.949999999997</v>
      </c>
    </row>
    <row r="90" spans="1:10" ht="12.75" customHeight="1" x14ac:dyDescent="0.25">
      <c r="G90" s="122" t="s">
        <v>290</v>
      </c>
      <c r="H90" s="119">
        <v>19187.939999999999</v>
      </c>
    </row>
    <row r="91" spans="1:10" ht="12.75" customHeight="1" thickBot="1" x14ac:dyDescent="0.3">
      <c r="G91" s="123" t="s">
        <v>289</v>
      </c>
      <c r="H91" s="120">
        <f>+H89-H90</f>
        <v>9.9999999983992893E-3</v>
      </c>
    </row>
  </sheetData>
  <pageMargins left="0" right="0" top="0" bottom="0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CPMS</vt:lpstr>
      <vt:lpstr>CPMS (2)</vt:lpstr>
      <vt:lpstr>Dueños 3rd Party</vt:lpstr>
      <vt:lpstr>Revision</vt:lpstr>
      <vt:lpstr>Registro 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Jiron</dc:creator>
  <cp:lastModifiedBy>Cindy Jiron</cp:lastModifiedBy>
  <dcterms:created xsi:type="dcterms:W3CDTF">2025-11-26T02:20:37Z</dcterms:created>
  <dcterms:modified xsi:type="dcterms:W3CDTF">2025-11-28T22:15:59Z</dcterms:modified>
</cp:coreProperties>
</file>